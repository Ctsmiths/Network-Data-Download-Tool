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Sales Tools\Data Download\"/>
    </mc:Choice>
  </mc:AlternateContent>
  <xr:revisionPtr revIDLastSave="0" documentId="13_ncr:1_{C4C317B7-6555-4C5B-BBA1-FCEC2A3DF047}" xr6:coauthVersionLast="47" xr6:coauthVersionMax="47" xr10:uidLastSave="{00000000-0000-0000-0000-000000000000}"/>
  <bookViews>
    <workbookView xWindow="-108" yWindow="-108" windowWidth="23256" windowHeight="12576" xr2:uid="{06BE2F8B-C762-409B-A5DA-0D2DA7B5C9F7}"/>
  </bookViews>
  <sheets>
    <sheet name="Network Data File Download" sheetId="2" r:id="rId1"/>
    <sheet name="Valve Explorer" sheetId="4" r:id="rId2"/>
    <sheet name="ScriptTemplate" sheetId="3" state="veryHidden" r:id="rId3"/>
    <sheet name="Config" sheetId="5" state="veryHidden" r:id="rId4"/>
  </sheets>
  <functionGroups builtInGroupCount="19"/>
  <definedNames>
    <definedName name="_VXValveList">OFFSET('Network Data File Download'!$J$13,0,0,COUNTA('Network Data File Download'!$J$13:$J$32),1)</definedName>
    <definedName name="f_ComputerNameDownload">'Network Data File Download'!$J$36</definedName>
    <definedName name="f_FTPpass">'Network Data File Download'!$L$40</definedName>
    <definedName name="f_IP1Download">'Network Data File Download'!$A$36</definedName>
    <definedName name="f_NDDailyMonthly">'Network Data File Download'!$H$4</definedName>
    <definedName name="f_NDDMCount">'Network Data File Download'!$H$6</definedName>
    <definedName name="f_NDFirmwareCache">'Network Data File Download'!$P$13</definedName>
    <definedName name="f_NDIP1">'Network Data File Download'!$B$13</definedName>
    <definedName name="f_NDPingStatus">'Network Data File Download'!$L$13</definedName>
    <definedName name="f_NDPortCache">'Network Data File Download'!$N$13</definedName>
    <definedName name="f_NDUnitID1">'Network Data File Download'!$J$13</definedName>
    <definedName name="f_NDValveCount">'Network Data File Download'!$H$8</definedName>
    <definedName name="f_NDVersionCache">'Network Data File Download'!$O$13</definedName>
    <definedName name="f_VXIP">'Valve Explorer'!$E$4</definedName>
    <definedName name="f_VXLiveCheck1">'Valve Explorer'!$Z$78</definedName>
    <definedName name="f_VXLiveValue1">'Valve Explorer'!$E$78</definedName>
    <definedName name="f_VXPort">'Valve Explorer'!$G$4</definedName>
    <definedName name="f_VXReport">'Valve Explorer'!$B$12</definedName>
    <definedName name="f_VXSelectedValve">'Valve Explorer'!$C$4</definedName>
    <definedName name="f_VXStatus">'Valve Explorer'!$B$6</definedName>
    <definedName name="rDate">Config!$A$2</definedName>
    <definedName name="rUpdMode">Config!$A$3</definedName>
    <definedName name="rVersion">Config!$A$1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2" l="1"/>
</calcChain>
</file>

<file path=xl/sharedStrings.xml><?xml version="1.0" encoding="utf-8"?>
<sst xmlns="http://schemas.openxmlformats.org/spreadsheetml/2006/main" count="55" uniqueCount="44">
  <si>
    <t>Retrieve Day or Month Files D/M:</t>
  </si>
  <si>
    <t xml:space="preserve"> </t>
  </si>
  <si>
    <t>Print #1, "COUNT=" &amp; ValveCount</t>
  </si>
  <si>
    <t>Energy Valve IP Address</t>
  </si>
  <si>
    <t>Unit ID:</t>
  </si>
  <si>
    <t>.</t>
  </si>
  <si>
    <t>AHU-1</t>
  </si>
  <si>
    <t>D</t>
  </si>
  <si>
    <t>Select Valve:</t>
  </si>
  <si>
    <t>IP:</t>
  </si>
  <si>
    <t>Port:</t>
  </si>
  <si>
    <t>Report</t>
  </si>
  <si>
    <t>Field</t>
  </si>
  <si>
    <t>Value</t>
  </si>
  <si>
    <t>Live Data - pick points, then click Get Selected Live Data</t>
  </si>
  <si>
    <t>Data Point</t>
  </si>
  <si>
    <t>Unit</t>
  </si>
  <si>
    <t>Absolute water flow</t>
  </si>
  <si>
    <t>Relative water flow</t>
  </si>
  <si>
    <t>%</t>
  </si>
  <si>
    <t>Absolute power</t>
  </si>
  <si>
    <t>Relative power</t>
  </si>
  <si>
    <t>Supply temperature (T1)</t>
  </si>
  <si>
    <t>Return temperature (T2)</t>
  </si>
  <si>
    <t>Delta-T</t>
  </si>
  <si>
    <t>Heating energy (BTU reg.)</t>
  </si>
  <si>
    <t>J</t>
  </si>
  <si>
    <t>Cooling energy (BTU reg.)</t>
  </si>
  <si>
    <t>Accumulated volume</t>
  </si>
  <si>
    <t>m3</t>
  </si>
  <si>
    <t>Valve position (relative)</t>
  </si>
  <si>
    <t>Differential water pressure</t>
  </si>
  <si>
    <t>Pa</t>
  </si>
  <si>
    <t>US9-X-SMITHRI</t>
  </si>
  <si>
    <t>192.168.4.105</t>
  </si>
  <si>
    <t>GPM</t>
  </si>
  <si>
    <t>Btu/h</t>
  </si>
  <si>
    <t>°F</t>
  </si>
  <si>
    <t>EV4.2.2</t>
  </si>
  <si>
    <t>2.2.9</t>
  </si>
  <si>
    <t xml:space="preserve">"""
Energy Valve datalog collector.
Generated from the Belimo "Network Data File Download" workbook on {{GENERATED}}.
Downloads CSV datalogs from every Energy Valve listed on that sheet and saves
them to one sub-folder per valve.
--------------------------------------------------------------------------
VALVES CAN BE DIFFERENT GENERATIONS, ON DIFFERENT PORTS, WITH DIFFERENT AUTH
    Older firmware serves plain HTTP (commonly port 8080) and issues a real
    401 challenge for HTTP Digest - it works, but REJECTS a Basic login sent
    up front. Newer firmware serves HTTPS (commonly port 8443) and never
    issues a real 401 at all - it answers 200 with its JavaScript login page
    instead, so Digest (which waits for a 401 that never comes) never
    authenticates; that firmware needs Basic sent with the very first
    request. These are opposite requirements, not a matter of degree.
    This script does not assume either one: for each valve it tries a real
    Digest exchange first (the only one of the two that can also succeed
    against an older valve's genuine challenge), and falls back to sending
    Basic up front only if that did not produce real CSV data. Scheme
    (http/https) follows the port the same way the workbook does: 8080/80
    are plain HTTP, 443/8443 are HTTPS. Whichever combination works for a
    valve is used for every file fetched from it in this run.
    The port baked into VALVES below is whatever the workbook had on hand
    when this script was generated (its remembered Port column, or a guess
    if the valve had never been checked) - not a guarantee. If that port
    does not answer, this script falls back through the standard candidates
    (8080, 443, 8443, 80) the same way the workbook's own Check Connections
    does, rather than failing outright on a stale or unconfirmed guess.
--------------------------------------------------------------------------
Requires Python 3.8+ and the "requests" package:  pip install requests
Credentials are read from the environment (set by run_ev_download.bat):
    EV_USER, EV_PASSWORD
"""
import datetime as dt
import os
import sys
import urllib.parse
try:
    import requests
    import urllib3
    from requests.auth import HTTPDigestAuth
except ImportError:
    sys.exit("The 'requests' package is not installed. Run:  pip install requests")
# ===== generated from the download sheet - re-run "Create Download Script" to change =====
# unit name -&gt; (IP address, port). Scheme and auth mode are detected per valve
# at run time (see module docstring) - the workbook's remembered port is a
# starting point, not a guarantee of scheme or auth mode.
VALVES = {
{{VALVES}}
}
COUNT = {{COUNT}}                 # how many files to fetch, counting back
MODE = "{{MODE}}"                 # "D" = daily files, "M" = monthly files
CONFIG_NAME = "{{CONFIG}}"        # datalog configuration name set on the valves
OUTPUT_DIR = r"{{OUTDIR}}"
# =========================================================================================
# The valves present a self-signed certificate. False skips verification. For a
# hardened setup, export each valve's certificate and set VERIFY to its file path.
VERIFY = False
BAD = '\\/:*?"&lt;&gt;|'                # characters Windows forbids in a folder name
def safe(name):
    out = "".join("_" if c in BAD else c for c in str(name)).strip().rstrip(". ")
    return out or "valve"
def target_date(mode, n):
    """The date string for the n-th file back (n=1 is the most recent complete one)."""
    today = dt.date.today()
    if mode == "M":
        m = today.month - n
        y = today.year + (m - 1) // 12
        m = (m - 1) % 12 + 1
        return "%04d-%02d" % (y, m)                     # last month, etc.
    return (today - dt.timedelta(days=n)).isoformat()   # yesterday, etc.
def scheme_for_port(port):
    """Same fixed convention the workbook uses - 8080/80 are plain HTTP,
    443/8443 (and anything else) are HTTPS. A protocol fact about the valve's
    web server, not something that varies per unit."""
    return "http" if port in (8080, 80) else "https"
def datalog_url(ip, port, scheme, mode, datestr):
    cmd = "downloadMonthly" if mode == "M" else "downloadDaily"
    fname = "%s-%s.csv" % (CONFIG_NAME, datestr)
    return "%s://%s:%d/cmd/datalog?%s=%s" % (scheme, ip, port, cmd, urllib.parse.quote(fname))
def is_real_csv(resp):
    return resp.status_code == 200 and "html" not in resp.headers.get("Content-Type", "").lower()
CANDIDATE_PORTS = (8080, 443, 8443, 80)   # same order/meaning as the workbook's own probe
def try_combo(ip, port, scheme, user, pw):
    """One (port, auth-mode) attempt. Returns a requests auth object on
    success, else None. A real Digest exchange is tried before a preemptive
    Basic header - whichever actually returns CSV-shaped data (not a login
    page, and not a 401/403) is what this combination needs. A 404 also
    counts as success: Jetty's auth filter runs before the "file not found"
    logic, so getting a 404 instead of a 401 already proves the port/auth
    combination is right - it just means no log was recorded for this exact
    date, which happens legitimately (see "empty day" in the README)."""
    url = datalog_url(ip, port, scheme, MODE, target_date(MODE, 1))
    for auth in (HTTPDigestAuth(user, pw), (user, pw)):
        try:
            r = requests.get(url, auth=auth, verify=VERIFY, timeout=(4, 20), allow_redirects=False)
        except requests.RequestException:
            continue
        if is_real_csv(r) or r.status_code == 404:
            return auth
    return None
def discover(ip, cached_port, user, pw):
    """Find a working (scheme, port, auth) combination for one valve. Tries
    the cached/guessed port first (fast path - usually right, since a valve
    rarely changes port between runs), then the standard candidates -
    mirroring the workbook's own ProbeEndpoint, since a stale or
    never-confirmed port in VALVES (a newly added valve defaults to 8443
    without ever having been checked) should not mean total failure.
    Returns (scheme, port, auth), or (None, None, None) if nothing answered
    on any candidate."""
    ports = [cached_port] + [p for p in CANDIDATE_PORTS if p != cached_port]
    for port in ports:
        scheme = scheme_for_port(port)
        auth = try_combo(ip, port, scheme, user, pw)
        if auth is not None:
            return scheme, port, auth
    return None, None, None
def fetch(ip, port, scheme, auth, mode, datestr):
    url = datalog_url(ip, port, scheme, mode, datestr)
    r = requests.get(url, auth=auth, verify=VERIFY, timeout=(6, 180), allow_redirects=False)
    if r.status_code == 401:
        raise RuntimeError("credentials rejected (HTTP 401) - check EV_USER / EV_PASSWORD")
    if r.is_redirect:
        loc = r.headers.get("Location", "")
        if "blocked" in loc:
            raise RuntimeError("account temporarily locked (too many failed logins); "
                               "wait 3 minutes and do not retry a wrong password")
        if "login" in loc:
            raise RuntimeError("redirected to login page - credentials not sent up front")
        raise RuntimeError("unexpected redirect to %s" % loc)
    if "html" in r.headers.get("Content-Type", ""):
        raise RuntimeError("valve returned a web page instead of CSV")
    r.raise_for_status()
    return r.content
RUN_BAT = "run_ev_download.bat"
def make_bat():
    """Write a double-click / Task-Scheduler runner next to this script.
    The workbook does not write this file itself: on managed Windows, Defender's
    "Block Office applications from creating executable content" rule stops
    Office from writing a .bat. A .bat written by Python is not affected.
    """
    here = os.path.dirname(os.path.abspath(__file__))
    path = os.path.join(here, RUN_BAT)
    text = (
        "@echo off\r\n"
        "rem  Runs the Energy Valve datalog collector. Point Windows Task\r\n"
        "rem  Scheduler at THIS file for unattended collection.\r\n"
        "\r\n"
        "rem  Valve login. Change only if the valves are not on the factory\r\n"
        "rem  default read-only account. Do NOT enter a wrong password: repeated\r\n"
        "rem  failures lock the account for a few minutes.\r\n"
        "set EV_USER=guest\r\n"
        "set EV_PASSWORD=guest\r\n"
        "\r\n"
        'cd /d "%~dp0"\r\n'
        "if not exist logs mkdir logs\r\n"
        "set STAMP=%date:~-4%-%date:~4,2%-%date:~7,2%_%time:~0,2%%time:~3,2%\r\n"
        "set STAMP=%STAMP: =0%\r\n"
        'python "%~dp0ev_datalog_download.py" 1&gt;&gt; "logs\\ev_%STAMP%.log" 2&gt;&amp;1\r\n'
        "set EV_PASSWORD=\r\n"
    )
    with open(path, "w", encoding="ascii") as f:
        f.write(text)
    print("Wrote %s" % path)
    print("Edit the EV_USER / EV_PASSWORD lines if the valves are not on the "
          "default login, then double-click it or schedule it.")
def main():
    if "--makebat" in sys.argv:
        make_bat()
        return 0
    user = os.environ.get("EV_USER")
    pw = os.environ.get("EV_PASSWORD")
    if not user or not pw:
        sys.exit("Set EV_USER and EV_PASSWORD first (see README), "
                 "or run:  python ev_datalog_download.py --makebat")
    if not VERIFY:
        urllib3.disable_warnings(urllib3.exceptions.InsecureRequestWarning)
    stamp = dt.datetime.now().strftime("%Y-%m-%d %H:%M:%S")
    print("=== Energy Valve datalog collection  %s ===" % stamp)
    print("%d valve(s), %d %s file(s) each\n" % (len(VALVES), COUNT,
                                                 "monthly" if MODE == "M" else "daily"))
    ok = fail = empty = 0
    for unit, (ip, cached_port) in VALVES.items():
        folder = os.path.join(OUTPUT_DIR, safe(unit))
        os.makedirs(folder, exist_ok=True)
        scheme, port, auth = discover(ip, cached_port, user, pw)
        if auth is None:
            fail += COUNT
            print("  %-16s no reachable port on %s (tried %s, each with Digest and Basic) - "
                  "check the valve is powered on and the login is correct"
                  % (unit, ip, ", ".join(str(p) for p in
                     [cached_port] + [p for p in CANDIDATE_PORTS if p != cached_port])))
            continue
        if port != cached_port:
            print("  %-16s port %d in the sheet did not answer - using %d instead "
                  "(re-run Check Connections to update the sheet)" % (unit, cached_port, port))
        for n in range(1, COUNT + 1):
            datestr = target_date(MODE, n)
            try:
                data = fetch(ip, port, scheme, auth, MODE, datestr)
            except Exception as exc:
                fail += 1
                print("  %-16s %s  FAILED  %s" % (unit, datestr, exc))
                continue
            if not data:
                empty += 1
                print("  %-16s %s  (no data on the valve for this period)" % (unit, datestr))
                continue
            path = os.path.join(folder, "%s-%s.csv" % (safe(unit), datestr))
            with open(path, "wb") as f:
                f.write(data)
            ok += 1
            print("  %-16s %s  %8d bytes" % (unit, datestr, len(data)))
    print("\nDone.  downloaded %d, empty %d, failed %d.  Files under: %s"
          % (ok, empty, fail, os.path.abspath(OUTPUT_DIR)))
    return 1 if fail else 0
if __name__ == "__main__":
    sys.exit(main())
</t>
  </si>
  <si>
    <t>2.20</t>
  </si>
  <si>
    <t>2026-09-24</t>
  </si>
  <si>
    <t>Number of Valves to retrieve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</si>
</sst>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sz val="10"/>
      <name val="Arial"/>
      <family val="2"/>
    </font>
    <font>
      <b/>
      <sz val="10"/>
      <name val="Arial"/>
      <family val="2"/>
    </font>
    <font>
      <sz val="10"/>
      <color theme="0"/>
      <name val="Arial"/>
      <family val="2"/>
    </font>
    <font>
      <b/>
      <sz val="10"/>
      <color theme="0"/>
      <name val="Arial"/>
      <family val="2"/>
    </font>
    <font>
      <sz val="10"/>
      <color theme="1" tint="0.249977111117893"/>
      <name val="Arial"/>
      <family val="2"/>
    </font>
    <font>
      <b/>
      <sz val="10"/>
      <color rgb="FFFF0000"/>
      <name val="Arial"/>
      <family val="2"/>
    </font>
    <font>
      <sz val="11"/>
      <color rgb="FFFF0000"/>
      <name val="Arial"/>
      <family val="2"/>
    </font>
    <font>
      <b/>
      <sz val="12"/>
      <color rgb="FFFFFFFF"/>
      <name val="Aptos Narrow"/>
      <family val="2"/>
    </font>
    <font>
      <sz val="12"/>
      <color rgb="FF000000"/>
      <name val="Aptos Narrow"/>
      <family val="2"/>
    </font>
    <font>
      <b/>
      <sz val="11"/>
      <color theme="1"/>
      <name val="Aptos Narrow"/>
      <family val="2"/>
      <scheme val="minor"/>
    </font>
    <font>
      <b/>
      <sz val="10"/>
      <color rgb="FFFFFFFF"/>
      <name val="Segoe UI"/>
      <family val="2"/>
    </font>
    <font>
      <sz val="10"/>
      <color theme="1"/>
      <name val="Segoe UI"/>
      <family val="2"/>
    </font>
    <font>
      <b/>
      <sz val="10"/>
      <color theme="1"/>
      <name val="Segoe UI"/>
      <family val="2"/>
    </font>
    <font>
      <i/>
      <sz val="9"/>
      <color rgb="FF666666"/>
      <name val="Segoe UI"/>
      <family val="2"/>
    </font>
    <font>
      <b/>
      <sz val="9"/>
      <color theme="1"/>
      <name val="Segoe UI"/>
      <family val="2"/>
    </font>
  </fonts>
  <fills count="9">
    <fill>
      <patternFill patternType="none"/>
    </fill>
    <fill>
      <patternFill patternType="gray125"/>
    </fill>
    <fill>
      <patternFill patternType="solid">
        <fgColor rgb="FFEEF0F2"/>
        <bgColor indexed="64"/>
      </patternFill>
    </fill>
    <fill>
      <patternFill patternType="solid">
        <fgColor theme="0"/>
        <bgColor indexed="64"/>
      </patternFill>
    </fill>
    <fill>
      <patternFill patternType="solid">
        <fgColor theme="0" tint="-4.9989318521683403E-2"/>
        <bgColor indexed="64"/>
      </patternFill>
    </fill>
    <fill>
      <patternFill patternType="solid">
        <fgColor rgb="FF3A6E8E"/>
        <bgColor indexed="64"/>
      </patternFill>
    </fill>
    <fill>
      <patternFill patternType="solid">
        <fgColor rgb="FFFFFFFF"/>
        <bgColor indexed="64"/>
      </patternFill>
    </fill>
    <fill>
      <patternFill patternType="solid">
        <fgColor rgb="FFF6F3EE"/>
        <bgColor indexed="64"/>
      </patternFill>
    </fill>
    <fill>
      <patternFill patternType="solid">
        <fgColor rgb="FFFFFFCC"/>
        <bgColor indexed="64"/>
      </patternFill>
    </fill>
  </fills>
  <borders count="9">
    <border>
      <left/>
      <right/>
      <top/>
      <bottom/>
      <diagonal/>
    </border>
    <border>
      <left/>
      <right/>
      <top/>
      <bottom style="medium">
        <color rgb="FFFF6600"/>
      </bottom>
      <diagonal/>
    </border>
    <border>
      <left/>
      <right/>
      <top/>
      <bottom style="thin">
        <color rgb="FFD7D7D7"/>
      </bottom>
      <diagonal/>
    </border>
    <border>
      <left/>
      <right style="thin">
        <color rgb="FFD7D7D7"/>
      </right>
      <top/>
      <bottom/>
      <diagonal/>
    </border>
    <border>
      <left style="thin">
        <color rgb="FFD7D7D7"/>
      </left>
      <right style="thin">
        <color rgb="FFD7D7D7"/>
      </right>
      <top style="thin">
        <color rgb="FFD7D7D7"/>
      </top>
      <bottom style="thin">
        <color rgb="FFD7D7D7"/>
      </bottom>
      <diagonal/>
    </border>
    <border>
      <left/>
      <right/>
      <top style="thin">
        <color rgb="FFD7D7D7"/>
      </top>
      <bottom style="thin">
        <color rgb="FFD7D7D7"/>
      </bottom>
      <diagonal/>
    </border>
    <border>
      <left style="thin">
        <color rgb="FFD7D7D7"/>
      </left>
      <right/>
      <top/>
      <bottom/>
      <diagonal/>
    </border>
    <border>
      <left style="thin">
        <color rgb="FFD7D7D7"/>
      </left>
      <right style="thin">
        <color rgb="FFD7D7D7"/>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38">
    <xf numFmtId="0" fontId="0" fillId="0" borderId="0" xfId="0"/>
    <xf numFmtId="0" fontId="1" fillId="2" borderId="1" xfId="1" applyFill="1" applyBorder="1"/>
    <xf numFmtId="0" fontId="1" fillId="3" borderId="0" xfId="1" applyFill="1"/>
    <xf numFmtId="0" fontId="1" fillId="3" borderId="0" xfId="1" applyFill="1" applyAlignment="1">
      <alignment horizontal="center"/>
    </xf>
    <xf numFmtId="0" fontId="2" fillId="3" borderId="0" xfId="1" applyFont="1" applyFill="1" applyAlignment="1">
      <alignment horizontal="center"/>
    </xf>
    <xf numFmtId="0" fontId="1" fillId="3" borderId="2" xfId="1" applyFill="1" applyBorder="1" applyAlignment="1">
      <alignment horizontal="center"/>
    </xf>
    <xf numFmtId="0" fontId="3" fillId="3" borderId="0" xfId="1" applyFont="1" applyFill="1"/>
    <xf numFmtId="0" fontId="4" fillId="3" borderId="0" xfId="1" applyFont="1" applyFill="1"/>
    <xf numFmtId="0" fontId="4" fillId="3" borderId="3" xfId="1" applyFont="1" applyFill="1" applyBorder="1"/>
    <xf numFmtId="0" fontId="5" fillId="3" borderId="4" xfId="1" applyFont="1" applyFill="1" applyBorder="1" applyAlignment="1" applyProtection="1">
      <alignment horizontal="center"/>
      <protection locked="0"/>
    </xf>
    <xf numFmtId="0" fontId="1" fillId="3" borderId="5" xfId="1" applyFill="1" applyBorder="1" applyAlignment="1">
      <alignment horizontal="center"/>
    </xf>
    <xf numFmtId="0" fontId="1" fillId="3" borderId="4" xfId="1" applyFill="1" applyBorder="1" applyAlignment="1" applyProtection="1">
      <alignment horizontal="center"/>
      <protection locked="0"/>
    </xf>
    <xf numFmtId="0" fontId="1" fillId="3" borderId="6" xfId="1" applyFill="1" applyBorder="1"/>
    <xf numFmtId="0" fontId="5" fillId="3" borderId="0" xfId="1" applyFont="1" applyFill="1" applyAlignment="1">
      <alignment horizontal="center"/>
    </xf>
    <xf numFmtId="0" fontId="5" fillId="3" borderId="4" xfId="1" applyFont="1" applyFill="1" applyBorder="1" applyAlignment="1">
      <alignment horizontal="center"/>
    </xf>
    <xf numFmtId="0" fontId="4" fillId="3" borderId="0" xfId="1" applyFont="1" applyFill="1" applyAlignment="1">
      <alignment horizontal="center"/>
    </xf>
    <xf numFmtId="0" fontId="5" fillId="4" borderId="7" xfId="1" applyFont="1" applyFill="1" applyBorder="1" applyAlignment="1" applyProtection="1">
      <alignment horizontal="center"/>
      <protection locked="0"/>
    </xf>
    <xf numFmtId="0" fontId="5" fillId="3" borderId="7" xfId="1" applyFont="1" applyFill="1" applyBorder="1" applyAlignment="1" applyProtection="1">
      <alignment horizontal="center"/>
      <protection locked="0"/>
    </xf>
    <xf numFmtId="0" fontId="7" fillId="3" borderId="0" xfId="1" applyFont="1" applyFill="1"/>
    <xf numFmtId="0" fontId="0" fillId="3" borderId="0" xfId="0" applyFill="1"/>
    <xf numFmtId="0" fontId="8" fillId="3" borderId="0" xfId="0" applyFont="1" applyFill="1" applyAlignment="1">
      <alignment vertical="center" wrapText="1"/>
    </xf>
    <xf numFmtId="0" fontId="9" fillId="3" borderId="0" xfId="0" applyFont="1" applyFill="1" applyAlignment="1">
      <alignment vertical="center" wrapText="1"/>
    </xf>
    <xf numFmtId="0" fontId="0" fillId="0" borderId="0" xfId="0" applyAlignment="1">
      <alignment wrapText="1"/>
    </xf>
    <xf numFmtId="0" fontId="11" fillId="5" borderId="0" xfId="0" applyFont="1" applyFill="1" applyAlignment="1">
      <alignment horizontal="center" vertical="center"/>
    </xf>
    <xf numFmtId="0" fontId="0" fillId="6" borderId="8" xfId="0" applyFill="1" applyBorder="1"/>
    <xf numFmtId="0" fontId="12" fillId="6" borderId="8" xfId="0" applyFont="1" applyFill="1" applyBorder="1" applyAlignment="1">
      <alignment horizontal="center"/>
    </xf>
    <xf numFmtId="0" fontId="0" fillId="7" borderId="0" xfId="0" applyFill="1"/>
    <xf numFmtId="0" fontId="10" fillId="7" borderId="0" xfId="0" applyFont="1" applyFill="1"/>
    <xf numFmtId="0" fontId="15" fillId="7" borderId="0" xfId="0" applyFont="1" applyFill="1"/>
    <xf numFmtId="0" fontId="13" fillId="8" borderId="8" xfId="0" applyFont="1" applyFill="1" applyBorder="1" applyAlignment="1">
      <alignment horizontal="center" vertical="center"/>
    </xf>
    <xf numFmtId="0" fontId="0" fillId="0" borderId="0" xfId="0" applyAlignment="1">
      <alignment horizontal="center" vertical="center"/>
    </xf>
    <xf numFmtId="0" fontId="10" fillId="7" borderId="0" xfId="0" applyFont="1" applyFill="1" applyAlignment="1">
      <alignment horizontal="center" vertical="center"/>
    </xf>
    <xf numFmtId="49" fontId="0" fillId="0" borderId="0" xfId="0" applyNumberFormat="1"/>
    <xf numFmtId="0" fontId="4" fillId="3" borderId="0" xfId="1" applyFont="1" applyFill="1" applyAlignment="1">
      <alignment horizontal="center"/>
    </xf>
    <xf numFmtId="0" fontId="6" fillId="3" borderId="0" xfId="1" applyFont="1" applyFill="1" applyAlignment="1">
      <alignment horizontal="center"/>
    </xf>
    <xf numFmtId="0" fontId="14" fillId="0" borderId="0" xfId="0" applyFont="1"/>
    <xf numFmtId="0" fontId="0" fillId="0" borderId="0" xfId="0"/>
    <xf numFmtId="0" fontId="11" fillId="5" borderId="0" xfId="0" applyFont="1" applyFill="1" applyAlignment="1">
      <alignment horizontal="left"/>
    </xf>
  </cellXfs>
  <cellStyles count="2">
    <cellStyle name="Normal" xfId="0" builtinId="0"/>
    <cellStyle name="Normal 2" xfId="1" xr:uid="{85BA9671-4FA2-41CC-B421-1449F0E678B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fmlaLink="Z78" lockText="1" noThreeD="1"/>
</file>

<file path=xl/ctrlProps/ctrlProp2.xml><?xml version="1.0" encoding="utf-8"?>
<formControlPr xmlns="http://schemas.microsoft.com/office/spreadsheetml/2009/9/main" objectType="CheckBox" fmlaLink="Z79" lockText="1" noThreeD="1"/>
</file>

<file path=xl/ctrlProps/ctrlProp3.xml><?xml version="1.0" encoding="utf-8"?>
<formControlPr xmlns="http://schemas.microsoft.com/office/spreadsheetml/2009/9/main" objectType="CheckBox" fmlaLink="Z80" lockText="1" noThreeD="1"/>
</file>

<file path=xl/ctrlProps/ctrlProp4.xml><?xml version="1.0" encoding="utf-8"?>
<formControlPr xmlns="http://schemas.microsoft.com/office/spreadsheetml/2009/9/main" objectType="CheckBox" fmlaLink="Z81" lockText="1" noThreeD="1"/>
</file>

<file path=xl/ctrlProps/ctrlProp5.xml><?xml version="1.0" encoding="utf-8"?>
<formControlPr xmlns="http://schemas.microsoft.com/office/spreadsheetml/2009/9/main" objectType="CheckBox" fmlaLink="Z82" lockText="1" noThreeD="1"/>
</file>

<file path=xl/ctrlProps/ctrlProp6.xml><?xml version="1.0" encoding="utf-8"?>
<formControlPr xmlns="http://schemas.microsoft.com/office/spreadsheetml/2009/9/main" objectType="CheckBox" fmlaLink="Z83" lockText="1" noThreeD="1"/>
</file>

<file path=xl/ctrlProps/ctrlProp7.xml><?xml version="1.0" encoding="utf-8"?>
<formControlPr xmlns="http://schemas.microsoft.com/office/spreadsheetml/2009/9/main" objectType="CheckBox" fmlaLink="Z84" lockText="1" noThreeD="1"/>
</file>

<file path=xl/ctrlProps/ctrlProp8.xml><?xml version="1.0" encoding="utf-8"?>
<formControlPr xmlns="http://schemas.microsoft.com/office/spreadsheetml/2009/9/main" objectType="CheckBox" fmlaLink="Z85" lockText="1" noThreeD="1"/>
</file>

<file path=xl/ctrlProps/ctrlProp9.xml><?xml version="1.0" encoding="utf-8"?>
<formControlPr xmlns="http://schemas.microsoft.com/office/spreadsheetml/2009/9/main" objectType="CheckBox" fmlaLink="Z86" lockText="1" noThreeD="1"/>
</file>

<file path=xl/ctrlProps/ctrlProp10.xml><?xml version="1.0" encoding="utf-8"?>
<formControlPr xmlns="http://schemas.microsoft.com/office/spreadsheetml/2009/9/main" objectType="CheckBox" fmlaLink="Z87" lockText="1" noThreeD="1"/>
</file>

<file path=xl/ctrlProps/ctrlProp11.xml><?xml version="1.0" encoding="utf-8"?>
<formControlPr xmlns="http://schemas.microsoft.com/office/spreadsheetml/2009/9/main" objectType="CheckBox" fmlaLink="Z88" lockText="1" noThreeD="1"/>
</file>

<file path=xl/ctrlProps/ctrlProp12.xml><?xml version="1.0" encoding="utf-8"?>
<formControlPr xmlns="http://schemas.microsoft.com/office/spreadsheetml/2009/9/main" objectType="CheckBox" fmlaLink="Z89" lockText="1" noThreeD="1"/>
</file>

<file path=xl/drawings/_rels/drawing1.xml.rels><?xml version="1.0" encoding="UTF-8" standalone="yes"?>
<Relationships xmlns="http://schemas.openxmlformats.org/package/2006/relationships"><Relationship Id="rId3" Type="http://schemas.openxmlformats.org/officeDocument/2006/relationships/hyperlink" Target="https://ecv.microsoft.com/vrNtkzFNqS"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11906</xdr:colOff>
      <xdr:row>36</xdr:row>
      <xdr:rowOff>58103</xdr:rowOff>
    </xdr:from>
    <xdr:to>
      <xdr:col>5</xdr:col>
      <xdr:colOff>236696</xdr:colOff>
      <xdr:row>38</xdr:row>
      <xdr:rowOff>138113</xdr:rowOff>
    </xdr:to>
    <xdr:sp macro="[0]!GetDayMonthFiles" textlink="">
      <xdr:nvSpPr>
        <xdr:cNvPr id="2" name="Rounded Rectangle 2">
          <a:extLst>
            <a:ext uri="{FF2B5EF4-FFF2-40B4-BE49-F238E27FC236}">
              <a16:creationId xmlns:a16="http://schemas.microsoft.com/office/drawing/2014/main" id="{D7A20A25-A58D-453A-8B97-880306588088}"/>
            </a:ext>
          </a:extLst>
        </xdr:cNvPr>
        <xdr:cNvSpPr/>
      </xdr:nvSpPr>
      <xdr:spPr bwMode="auto">
        <a:xfrm>
          <a:off x="333375" y="8809197"/>
          <a:ext cx="1760696" cy="46101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Download Data Files</a:t>
          </a:r>
        </a:p>
      </xdr:txBody>
    </xdr:sp>
    <xdr:clientData/>
  </xdr:twoCellAnchor>
  <xdr:twoCellAnchor>
    <xdr:from>
      <xdr:col>0</xdr:col>
      <xdr:colOff>178733</xdr:colOff>
      <xdr:row>1</xdr:row>
      <xdr:rowOff>76200</xdr:rowOff>
    </xdr:from>
    <xdr:to>
      <xdr:col>20</xdr:col>
      <xdr:colOff>28575</xdr:colOff>
      <xdr:row>1</xdr:row>
      <xdr:rowOff>990600</xdr:rowOff>
    </xdr:to>
    <xdr:grpSp>
      <xdr:nvGrpSpPr>
        <xdr:cNvPr id="3" name="Group 2">
          <a:extLst>
            <a:ext uri="{FF2B5EF4-FFF2-40B4-BE49-F238E27FC236}">
              <a16:creationId xmlns:a16="http://schemas.microsoft.com/office/drawing/2014/main" id="{0D0E5698-0094-43D8-8A13-B145A5E097E5}"/>
            </a:ext>
          </a:extLst>
        </xdr:cNvPr>
        <xdr:cNvGrpSpPr/>
      </xdr:nvGrpSpPr>
      <xdr:grpSpPr>
        <a:xfrm>
          <a:off x="178733" y="285750"/>
          <a:ext cx="13003867" cy="914400"/>
          <a:chOff x="1150297" y="5600700"/>
          <a:chExt cx="10029825" cy="742949"/>
        </a:xfrm>
      </xdr:grpSpPr>
      <xdr:sp macro="" textlink="">
        <xdr:nvSpPr>
          <xdr:cNvPr id="4" name="Round Same Side Corner Rectangle 4">
            <a:extLst>
              <a:ext uri="{FF2B5EF4-FFF2-40B4-BE49-F238E27FC236}">
                <a16:creationId xmlns:a16="http://schemas.microsoft.com/office/drawing/2014/main" id="{7DD4CC94-8B2D-08E9-7504-BD2E85159047}"/>
              </a:ext>
            </a:extLst>
          </xdr:cNvPr>
          <xdr:cNvSpPr/>
        </xdr:nvSpPr>
        <xdr:spPr bwMode="auto">
          <a:xfrm>
            <a:off x="1150297" y="5600700"/>
            <a:ext cx="10029825" cy="742949"/>
          </a:xfrm>
          <a:prstGeom prst="round2SameRect">
            <a:avLst/>
          </a:prstGeom>
          <a:solidFill>
            <a:srgbClr val="3A6E8E"/>
          </a:solidFill>
          <a:ln/>
        </xdr:spPr>
        <xdr:style>
          <a:lnRef idx="0">
            <a:schemeClr val="accent2"/>
          </a:lnRef>
          <a:fillRef idx="3">
            <a:schemeClr val="accent2"/>
          </a:fillRef>
          <a:effectRef idx="3">
            <a:schemeClr val="accent2"/>
          </a:effectRef>
          <a:fontRef idx="minor">
            <a:schemeClr val="lt1"/>
          </a:fontRef>
        </xdr:style>
        <xdr:txBody>
          <a:bodyPr vertOverflow="clip" wrap="square" lIns="0" tIns="45720" rIns="0" bIns="45720" anchor="ctr" upright="1"/>
          <a:lstStyle/>
          <a:p>
            <a:pPr marL="0" indent="0" algn="ctr" rtl="0">
              <a:defRPr sz="1000"/>
            </a:pPr>
            <a:endParaRPr lang="en-US" sz="1100" b="1" i="0" u="none" strike="noStrike" baseline="0">
              <a:solidFill>
                <a:srgbClr val="FFFFFF"/>
              </a:solidFill>
              <a:latin typeface="Arial" panose="020B0604020202020204" pitchFamily="34" charset="0"/>
              <a:ea typeface="+mn-ea"/>
              <a:cs typeface="Arial" panose="020B0604020202020204" pitchFamily="34" charset="0"/>
            </a:endParaRPr>
          </a:p>
        </xdr:txBody>
      </xdr:sp>
      <xdr:sp macro="" textlink="">
        <xdr:nvSpPr>
          <xdr:cNvPr id="5" name="TextBox 4">
            <a:extLst>
              <a:ext uri="{FF2B5EF4-FFF2-40B4-BE49-F238E27FC236}">
                <a16:creationId xmlns:a16="http://schemas.microsoft.com/office/drawing/2014/main" id="{90DC128A-9DF6-4180-9FB1-4877120907AC}"/>
              </a:ext>
            </a:extLst>
          </xdr:cNvPr>
          <xdr:cNvSpPr txBox="1"/>
        </xdr:nvSpPr>
        <xdr:spPr>
          <a:xfrm>
            <a:off x="2775806" y="5620154"/>
            <a:ext cx="6607668" cy="637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000">
                <a:ln>
                  <a:noFill/>
                </a:ln>
                <a:solidFill>
                  <a:schemeClr val="bg1"/>
                </a:solidFill>
                <a:effectLst>
                  <a:outerShdw blurRad="50800" dist="25400" dir="8100000" algn="tr" rotWithShape="0">
                    <a:prstClr val="black">
                      <a:alpha val="70000"/>
                    </a:prstClr>
                  </a:outerShdw>
                </a:effectLst>
                <a:latin typeface="Arial Narrow" panose="020B0606020202030204" pitchFamily="34" charset="0"/>
                <a:ea typeface="Arial Unicode MS" panose="020B0604020202020204" pitchFamily="34" charset="-128"/>
                <a:cs typeface="Arial Unicode MS" panose="020B0604020202020204" pitchFamily="34" charset="-128"/>
              </a:rPr>
              <a:t>Energy Valve™ </a:t>
            </a:r>
            <a:r>
              <a:rPr lang="en-US" sz="4000" b="1" baseline="0">
                <a:ln>
                  <a:noFill/>
                </a:ln>
                <a:solidFill>
                  <a:schemeClr val="bg1"/>
                </a:solidFill>
                <a:effectLst>
                  <a:outerShdw blurRad="50800" dist="25400" dir="8100000" algn="tr" rotWithShape="0">
                    <a:prstClr val="black">
                      <a:alpha val="70000"/>
                    </a:prstClr>
                  </a:outerShdw>
                </a:effectLst>
                <a:latin typeface="Arial Narrow" panose="020B0606020202030204" pitchFamily="34" charset="0"/>
                <a:ea typeface="Arial Unicode MS" panose="020B0604020202020204" pitchFamily="34" charset="-128"/>
                <a:cs typeface="Arial Unicode MS" panose="020B0604020202020204" pitchFamily="34" charset="-128"/>
              </a:rPr>
              <a:t>Data File Download</a:t>
            </a:r>
            <a:endParaRPr lang="en-US" sz="4000" b="1">
              <a:ln>
                <a:noFill/>
              </a:ln>
              <a:solidFill>
                <a:schemeClr val="bg1"/>
              </a:solidFill>
              <a:effectLst>
                <a:outerShdw blurRad="50800" dist="25400" dir="8100000" algn="tr" rotWithShape="0">
                  <a:prstClr val="black">
                    <a:alpha val="70000"/>
                  </a:prstClr>
                </a:outerShdw>
              </a:effectLst>
              <a:latin typeface="Arial Narrow" panose="020B0606020202030204" pitchFamily="34" charset="0"/>
              <a:ea typeface="Arial Unicode MS" panose="020B0604020202020204" pitchFamily="34" charset="-128"/>
              <a:cs typeface="Arial Unicode MS" panose="020B0604020202020204" pitchFamily="34" charset="-128"/>
            </a:endParaRPr>
          </a:p>
        </xdr:txBody>
      </xdr:sp>
    </xdr:grpSp>
    <xdr:clientData/>
  </xdr:twoCellAnchor>
  <xdr:twoCellAnchor>
    <xdr:from>
      <xdr:col>17</xdr:col>
      <xdr:colOff>542925</xdr:colOff>
      <xdr:row>1</xdr:row>
      <xdr:rowOff>156210</xdr:rowOff>
    </xdr:from>
    <xdr:to>
      <xdr:col>19</xdr:col>
      <xdr:colOff>1614937</xdr:colOff>
      <xdr:row>1</xdr:row>
      <xdr:rowOff>842411</xdr:rowOff>
    </xdr:to>
    <xdr:pic>
      <xdr:nvPicPr>
        <xdr:cNvPr id="6" name="Picture 5">
          <a:extLst>
            <a:ext uri="{FF2B5EF4-FFF2-40B4-BE49-F238E27FC236}">
              <a16:creationId xmlns:a16="http://schemas.microsoft.com/office/drawing/2014/main" id="{AEBBE59C-B9C0-483B-8172-F51E0B1EA0A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0870" r="4802" b="5788"/>
        <a:stretch/>
      </xdr:blipFill>
      <xdr:spPr>
        <a:xfrm>
          <a:off x="9144000" y="365760"/>
          <a:ext cx="2272162" cy="686201"/>
        </a:xfrm>
        <a:prstGeom prst="rect">
          <a:avLst/>
        </a:prstGeom>
      </xdr:spPr>
    </xdr:pic>
    <xdr:clientData/>
  </xdr:twoCellAnchor>
  <xdr:twoCellAnchor>
    <xdr:from>
      <xdr:col>0</xdr:col>
      <xdr:colOff>152400</xdr:colOff>
      <xdr:row>2</xdr:row>
      <xdr:rowOff>982982</xdr:rowOff>
    </xdr:from>
    <xdr:to>
      <xdr:col>6</xdr:col>
      <xdr:colOff>151280</xdr:colOff>
      <xdr:row>4</xdr:row>
      <xdr:rowOff>38100</xdr:rowOff>
    </xdr:to>
    <xdr:sp macro="" textlink="">
      <xdr:nvSpPr>
        <xdr:cNvPr id="7" name="hdrDuration">
          <a:extLst>
            <a:ext uri="{FF2B5EF4-FFF2-40B4-BE49-F238E27FC236}">
              <a16:creationId xmlns:a16="http://schemas.microsoft.com/office/drawing/2014/main" id="{2CE7485E-C89F-4788-B5CC-94A95143322D}"/>
            </a:ext>
          </a:extLst>
        </xdr:cNvPr>
        <xdr:cNvSpPr/>
      </xdr:nvSpPr>
      <xdr:spPr>
        <a:xfrm>
          <a:off x="152400" y="1830707"/>
          <a:ext cx="2284880" cy="198118"/>
        </a:xfrm>
        <a:prstGeom prst="round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900" b="1" i="0" baseline="0">
              <a:solidFill>
                <a:schemeClr val="lt1"/>
              </a:solidFill>
              <a:effectLst/>
              <a:latin typeface="Arial" panose="020B0604020202020204" pitchFamily="34" charset="0"/>
              <a:ea typeface="+mn-ea"/>
              <a:cs typeface="Arial" panose="020B0604020202020204" pitchFamily="34" charset="0"/>
            </a:rPr>
            <a:t>Retrieve Day or Month Files D/M:</a:t>
          </a:r>
        </a:p>
      </xdr:txBody>
    </xdr:sp>
    <xdr:clientData/>
  </xdr:twoCellAnchor>
  <xdr:twoCellAnchor>
    <xdr:from>
      <xdr:col>0</xdr:col>
      <xdr:colOff>142875</xdr:colOff>
      <xdr:row>4</xdr:row>
      <xdr:rowOff>122706</xdr:rowOff>
    </xdr:from>
    <xdr:to>
      <xdr:col>6</xdr:col>
      <xdr:colOff>139827</xdr:colOff>
      <xdr:row>6</xdr:row>
      <xdr:rowOff>17550</xdr:rowOff>
    </xdr:to>
    <xdr:sp macro="" textlink="">
      <xdr:nvSpPr>
        <xdr:cNvPr id="8" name="hdrDuration">
          <a:extLst>
            <a:ext uri="{FF2B5EF4-FFF2-40B4-BE49-F238E27FC236}">
              <a16:creationId xmlns:a16="http://schemas.microsoft.com/office/drawing/2014/main" id="{427855EC-6D37-4FD4-B68F-79CEBFDFE01F}"/>
            </a:ext>
          </a:extLst>
        </xdr:cNvPr>
        <xdr:cNvSpPr/>
      </xdr:nvSpPr>
      <xdr:spPr>
        <a:xfrm>
          <a:off x="142875" y="2113431"/>
          <a:ext cx="2282952" cy="218694"/>
        </a:xfrm>
        <a:prstGeom prst="round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900" b="1" i="0" baseline="0">
              <a:solidFill>
                <a:schemeClr val="lt1"/>
              </a:solidFill>
              <a:effectLst/>
              <a:latin typeface="Arial" panose="020B0604020202020204" pitchFamily="34" charset="0"/>
              <a:ea typeface="+mn-ea"/>
              <a:cs typeface="Arial" panose="020B0604020202020204" pitchFamily="34" charset="0"/>
            </a:rPr>
            <a:t>Number of Days or Months to retrieve: </a:t>
          </a:r>
        </a:p>
      </xdr:txBody>
    </xdr:sp>
    <xdr:clientData/>
  </xdr:twoCellAnchor>
  <xdr:twoCellAnchor>
    <xdr:from>
      <xdr:col>1</xdr:col>
      <xdr:colOff>2239</xdr:colOff>
      <xdr:row>10</xdr:row>
      <xdr:rowOff>563</xdr:rowOff>
    </xdr:from>
    <xdr:to>
      <xdr:col>7</xdr:col>
      <xdr:colOff>582706</xdr:colOff>
      <xdr:row>11</xdr:row>
      <xdr:rowOff>76668</xdr:rowOff>
    </xdr:to>
    <xdr:sp macro="" textlink="">
      <xdr:nvSpPr>
        <xdr:cNvPr id="9" name="hdrDuration">
          <a:extLst>
            <a:ext uri="{FF2B5EF4-FFF2-40B4-BE49-F238E27FC236}">
              <a16:creationId xmlns:a16="http://schemas.microsoft.com/office/drawing/2014/main" id="{397D1F65-3D7A-42C1-AF45-309E4B7415CB}"/>
            </a:ext>
          </a:extLst>
        </xdr:cNvPr>
        <xdr:cNvSpPr/>
      </xdr:nvSpPr>
      <xdr:spPr>
        <a:xfrm>
          <a:off x="230839" y="2962838"/>
          <a:ext cx="2799792" cy="238030"/>
        </a:xfrm>
        <a:prstGeom prst="roundRect">
          <a:avLst/>
        </a:prstGeom>
        <a:solidFill>
          <a:srgbClr val="3A6E8E"/>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1000" b="1" i="0" baseline="0">
              <a:solidFill>
                <a:schemeClr val="lt1"/>
              </a:solidFill>
              <a:effectLst/>
              <a:latin typeface="Arial" panose="020B0604020202020204" pitchFamily="34" charset="0"/>
              <a:ea typeface="+mn-ea"/>
              <a:cs typeface="Arial" panose="020B0604020202020204" pitchFamily="34" charset="0"/>
            </a:rPr>
            <a:t>Energy Valve IP Address</a:t>
          </a:r>
        </a:p>
      </xdr:txBody>
    </xdr:sp>
    <xdr:clientData/>
  </xdr:twoCellAnchor>
  <xdr:twoCellAnchor>
    <xdr:from>
      <xdr:col>9</xdr:col>
      <xdr:colOff>8</xdr:colOff>
      <xdr:row>10</xdr:row>
      <xdr:rowOff>7285</xdr:rowOff>
    </xdr:from>
    <xdr:to>
      <xdr:col>10</xdr:col>
      <xdr:colOff>0</xdr:colOff>
      <xdr:row>11</xdr:row>
      <xdr:rowOff>83390</xdr:rowOff>
    </xdr:to>
    <xdr:sp macro="" textlink="">
      <xdr:nvSpPr>
        <xdr:cNvPr id="10" name="hdrDuration">
          <a:extLst>
            <a:ext uri="{FF2B5EF4-FFF2-40B4-BE49-F238E27FC236}">
              <a16:creationId xmlns:a16="http://schemas.microsoft.com/office/drawing/2014/main" id="{A55ACA9D-ED99-4EF8-951A-2C1363BDBC46}"/>
            </a:ext>
          </a:extLst>
        </xdr:cNvPr>
        <xdr:cNvSpPr/>
      </xdr:nvSpPr>
      <xdr:spPr>
        <a:xfrm>
          <a:off x="3267083" y="2969560"/>
          <a:ext cx="971542" cy="238030"/>
        </a:xfrm>
        <a:prstGeom prst="roundRect">
          <a:avLst/>
        </a:prstGeom>
        <a:solidFill>
          <a:srgbClr val="3A6E8E"/>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1000" b="1" i="0" baseline="0">
              <a:solidFill>
                <a:schemeClr val="lt1"/>
              </a:solidFill>
              <a:effectLst/>
              <a:latin typeface="Arial" panose="020B0604020202020204" pitchFamily="34" charset="0"/>
              <a:ea typeface="+mn-ea"/>
              <a:cs typeface="Arial" panose="020B0604020202020204" pitchFamily="34" charset="0"/>
            </a:rPr>
            <a:t>Unit ID:</a:t>
          </a:r>
        </a:p>
      </xdr:txBody>
    </xdr:sp>
    <xdr:clientData/>
  </xdr:twoCellAnchor>
  <xdr:twoCellAnchor>
    <xdr:from>
      <xdr:col>1</xdr:col>
      <xdr:colOff>3358</xdr:colOff>
      <xdr:row>33</xdr:row>
      <xdr:rowOff>7307</xdr:rowOff>
    </xdr:from>
    <xdr:to>
      <xdr:col>7</xdr:col>
      <xdr:colOff>583825</xdr:colOff>
      <xdr:row>34</xdr:row>
      <xdr:rowOff>83412</xdr:rowOff>
    </xdr:to>
    <xdr:sp macro="" textlink="">
      <xdr:nvSpPr>
        <xdr:cNvPr id="11" name="hdrDuration">
          <a:extLst>
            <a:ext uri="{FF2B5EF4-FFF2-40B4-BE49-F238E27FC236}">
              <a16:creationId xmlns:a16="http://schemas.microsoft.com/office/drawing/2014/main" id="{6176544A-757C-4A8A-94AC-3A2CD12F13ED}"/>
            </a:ext>
          </a:extLst>
        </xdr:cNvPr>
        <xdr:cNvSpPr/>
      </xdr:nvSpPr>
      <xdr:spPr>
        <a:xfrm>
          <a:off x="231958" y="6693857"/>
          <a:ext cx="2799792" cy="304705"/>
        </a:xfrm>
        <a:prstGeom prst="roundRect">
          <a:avLst/>
        </a:prstGeom>
        <a:solidFill>
          <a:srgbClr val="3A6E8E"/>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1000" b="1" i="0" baseline="0">
              <a:solidFill>
                <a:schemeClr val="lt1"/>
              </a:solidFill>
              <a:effectLst/>
              <a:latin typeface="Arial" panose="020B0604020202020204" pitchFamily="34" charset="0"/>
              <a:ea typeface="+mn-ea"/>
              <a:cs typeface="Arial" panose="020B0604020202020204" pitchFamily="34" charset="0"/>
            </a:rPr>
            <a:t>My Computer IP Address</a:t>
          </a:r>
        </a:p>
      </xdr:txBody>
    </xdr:sp>
    <xdr:clientData/>
  </xdr:twoCellAnchor>
  <xdr:twoCellAnchor>
    <xdr:from>
      <xdr:col>9</xdr:col>
      <xdr:colOff>1137</xdr:colOff>
      <xdr:row>33</xdr:row>
      <xdr:rowOff>8406</xdr:rowOff>
    </xdr:from>
    <xdr:to>
      <xdr:col>10</xdr:col>
      <xdr:colOff>1129</xdr:colOff>
      <xdr:row>34</xdr:row>
      <xdr:rowOff>84511</xdr:rowOff>
    </xdr:to>
    <xdr:sp macro="" textlink="">
      <xdr:nvSpPr>
        <xdr:cNvPr id="12" name="hdrDuration">
          <a:extLst>
            <a:ext uri="{FF2B5EF4-FFF2-40B4-BE49-F238E27FC236}">
              <a16:creationId xmlns:a16="http://schemas.microsoft.com/office/drawing/2014/main" id="{0A65A907-7B0D-4991-AB24-D9EFAB99759E}"/>
            </a:ext>
          </a:extLst>
        </xdr:cNvPr>
        <xdr:cNvSpPr/>
      </xdr:nvSpPr>
      <xdr:spPr>
        <a:xfrm>
          <a:off x="3268212" y="6694956"/>
          <a:ext cx="971542" cy="304705"/>
        </a:xfrm>
        <a:prstGeom prst="roundRect">
          <a:avLst/>
        </a:prstGeom>
        <a:solidFill>
          <a:srgbClr val="3A6E8E"/>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1000" b="1" i="0" baseline="0">
              <a:solidFill>
                <a:schemeClr val="lt1"/>
              </a:solidFill>
              <a:effectLst/>
              <a:latin typeface="Arial" panose="020B0604020202020204" pitchFamily="34" charset="0"/>
              <a:ea typeface="+mn-ea"/>
              <a:cs typeface="Arial" panose="020B0604020202020204" pitchFamily="34" charset="0"/>
            </a:rPr>
            <a:t>Unit ID:</a:t>
          </a:r>
        </a:p>
      </xdr:txBody>
    </xdr:sp>
    <xdr:clientData/>
  </xdr:twoCellAnchor>
  <xdr:twoCellAnchor>
    <xdr:from>
      <xdr:col>11</xdr:col>
      <xdr:colOff>0</xdr:colOff>
      <xdr:row>9</xdr:row>
      <xdr:rowOff>171449</xdr:rowOff>
    </xdr:from>
    <xdr:to>
      <xdr:col>12</xdr:col>
      <xdr:colOff>323850</xdr:colOff>
      <xdr:row>11</xdr:row>
      <xdr:rowOff>75437</xdr:rowOff>
    </xdr:to>
    <xdr:sp macro="" textlink="">
      <xdr:nvSpPr>
        <xdr:cNvPr id="13" name="hdrDuration">
          <a:extLst>
            <a:ext uri="{FF2B5EF4-FFF2-40B4-BE49-F238E27FC236}">
              <a16:creationId xmlns:a16="http://schemas.microsoft.com/office/drawing/2014/main" id="{C02CEEEC-1FC3-4500-811A-D2A5955FD1D0}"/>
            </a:ext>
          </a:extLst>
        </xdr:cNvPr>
        <xdr:cNvSpPr/>
      </xdr:nvSpPr>
      <xdr:spPr>
        <a:xfrm>
          <a:off x="4876800" y="2743199"/>
          <a:ext cx="914400" cy="246888"/>
        </a:xfrm>
        <a:prstGeom prst="roundRect">
          <a:avLst/>
        </a:prstGeom>
        <a:solidFill>
          <a:srgbClr val="3A6E8E"/>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1000" b="1" i="0" baseline="0">
              <a:solidFill>
                <a:schemeClr val="lt1"/>
              </a:solidFill>
              <a:effectLst/>
              <a:latin typeface="Arial" panose="020B0604020202020204" pitchFamily="34" charset="0"/>
              <a:ea typeface="+mn-ea"/>
              <a:cs typeface="Arial" panose="020B0604020202020204" pitchFamily="34" charset="0"/>
            </a:rPr>
            <a:t>Status</a:t>
          </a:r>
        </a:p>
      </xdr:txBody>
    </xdr:sp>
    <xdr:clientData/>
  </xdr:twoCellAnchor>
  <xdr:twoCellAnchor editAs="oneCell">
    <xdr:from>
      <xdr:col>9</xdr:col>
      <xdr:colOff>0</xdr:colOff>
      <xdr:row>3</xdr:row>
      <xdr:rowOff>0</xdr:rowOff>
    </xdr:from>
    <xdr:to>
      <xdr:col>9</xdr:col>
      <xdr:colOff>164592</xdr:colOff>
      <xdr:row>4</xdr:row>
      <xdr:rowOff>1307</xdr:rowOff>
    </xdr:to>
    <xdr:sp macro="HelpDayMonth" textlink="">
      <xdr:nvSpPr>
        <xdr:cNvPr id="14" name="Oval 13">
          <a:extLst>
            <a:ext uri="{FF2B5EF4-FFF2-40B4-BE49-F238E27FC236}">
              <a16:creationId xmlns:a16="http://schemas.microsoft.com/office/drawing/2014/main" id="{C0D7DB6C-5C2E-4B4D-A024-6EF53686FC4E}"/>
            </a:ext>
          </a:extLst>
        </xdr:cNvPr>
        <xdr:cNvSpPr>
          <a:spLocks noChangeAspect="1"/>
        </xdr:cNvSpPr>
      </xdr:nvSpPr>
      <xdr:spPr>
        <a:xfrm>
          <a:off x="3267075" y="1828800"/>
          <a:ext cx="158877" cy="163232"/>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0</xdr:colOff>
      <xdr:row>5</xdr:row>
      <xdr:rowOff>0</xdr:rowOff>
    </xdr:from>
    <xdr:to>
      <xdr:col>9</xdr:col>
      <xdr:colOff>164592</xdr:colOff>
      <xdr:row>6</xdr:row>
      <xdr:rowOff>1306</xdr:rowOff>
    </xdr:to>
    <xdr:sp macro="HelpCount" textlink="">
      <xdr:nvSpPr>
        <xdr:cNvPr id="15" name="Oval 14">
          <a:extLst>
            <a:ext uri="{FF2B5EF4-FFF2-40B4-BE49-F238E27FC236}">
              <a16:creationId xmlns:a16="http://schemas.microsoft.com/office/drawing/2014/main" id="{ECA46297-E5E6-48F3-A3C0-4322786906E2}"/>
            </a:ext>
          </a:extLst>
        </xdr:cNvPr>
        <xdr:cNvSpPr>
          <a:spLocks noChangeAspect="1"/>
        </xdr:cNvSpPr>
      </xdr:nvSpPr>
      <xdr:spPr>
        <a:xfrm>
          <a:off x="3267075" y="2152650"/>
          <a:ext cx="158877" cy="163231"/>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262888</xdr:colOff>
      <xdr:row>10</xdr:row>
      <xdr:rowOff>63764</xdr:rowOff>
    </xdr:from>
    <xdr:to>
      <xdr:col>7</xdr:col>
      <xdr:colOff>407668</xdr:colOff>
      <xdr:row>11</xdr:row>
      <xdr:rowOff>50429</xdr:rowOff>
    </xdr:to>
    <xdr:sp macro="HelpIPAddress" textlink="">
      <xdr:nvSpPr>
        <xdr:cNvPr id="16" name="Oval 15">
          <a:extLst>
            <a:ext uri="{FF2B5EF4-FFF2-40B4-BE49-F238E27FC236}">
              <a16:creationId xmlns:a16="http://schemas.microsoft.com/office/drawing/2014/main" id="{A0009B20-0CA0-48CF-80D6-379B0221F9E2}"/>
            </a:ext>
          </a:extLst>
        </xdr:cNvPr>
        <xdr:cNvSpPr>
          <a:spLocks noChangeAspect="1"/>
        </xdr:cNvSpPr>
      </xdr:nvSpPr>
      <xdr:spPr>
        <a:xfrm>
          <a:off x="2720338" y="3026039"/>
          <a:ext cx="146685"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815340</xdr:colOff>
      <xdr:row>10</xdr:row>
      <xdr:rowOff>60960</xdr:rowOff>
    </xdr:from>
    <xdr:to>
      <xdr:col>9</xdr:col>
      <xdr:colOff>952500</xdr:colOff>
      <xdr:row>11</xdr:row>
      <xdr:rowOff>49530</xdr:rowOff>
    </xdr:to>
    <xdr:sp macro="HelpUnitID" textlink="">
      <xdr:nvSpPr>
        <xdr:cNvPr id="17" name="Oval 16">
          <a:extLst>
            <a:ext uri="{FF2B5EF4-FFF2-40B4-BE49-F238E27FC236}">
              <a16:creationId xmlns:a16="http://schemas.microsoft.com/office/drawing/2014/main" id="{D56D1FC4-DB18-4D08-A434-1E51CE19FC89}"/>
            </a:ext>
          </a:extLst>
        </xdr:cNvPr>
        <xdr:cNvSpPr>
          <a:spLocks noChangeAspect="1"/>
        </xdr:cNvSpPr>
      </xdr:nvSpPr>
      <xdr:spPr>
        <a:xfrm>
          <a:off x="4082415" y="3023235"/>
          <a:ext cx="137160" cy="13525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10</xdr:col>
      <xdr:colOff>213360</xdr:colOff>
      <xdr:row>33</xdr:row>
      <xdr:rowOff>22861</xdr:rowOff>
    </xdr:from>
    <xdr:to>
      <xdr:col>13</xdr:col>
      <xdr:colOff>361950</xdr:colOff>
      <xdr:row>34</xdr:row>
      <xdr:rowOff>114301</xdr:rowOff>
    </xdr:to>
    <xdr:sp macro="[0]!DownloadPing" textlink="">
      <xdr:nvSpPr>
        <xdr:cNvPr id="18" name="Rounded Rectangle 26">
          <a:extLst>
            <a:ext uri="{FF2B5EF4-FFF2-40B4-BE49-F238E27FC236}">
              <a16:creationId xmlns:a16="http://schemas.microsoft.com/office/drawing/2014/main" id="{6B541938-C017-4AC2-9D58-71D9C4E3185A}"/>
            </a:ext>
          </a:extLst>
        </xdr:cNvPr>
        <xdr:cNvSpPr/>
      </xdr:nvSpPr>
      <xdr:spPr bwMode="auto">
        <a:xfrm>
          <a:off x="4451985" y="6709411"/>
          <a:ext cx="1586865" cy="32004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Check Connections</a:t>
          </a:r>
        </a:p>
      </xdr:txBody>
    </xdr:sp>
    <xdr:clientData/>
  </xdr:twoCellAnchor>
  <xdr:twoCellAnchor editAs="oneCell">
    <xdr:from>
      <xdr:col>13</xdr:col>
      <xdr:colOff>466725</xdr:colOff>
      <xdr:row>33</xdr:row>
      <xdr:rowOff>38100</xdr:rowOff>
    </xdr:from>
    <xdr:to>
      <xdr:col>13</xdr:col>
      <xdr:colOff>650367</xdr:colOff>
      <xdr:row>33</xdr:row>
      <xdr:rowOff>202692</xdr:rowOff>
    </xdr:to>
    <xdr:sp macro="HelpCheckConnections" textlink="">
      <xdr:nvSpPr>
        <xdr:cNvPr id="19" name="Oval 18">
          <a:extLst>
            <a:ext uri="{FF2B5EF4-FFF2-40B4-BE49-F238E27FC236}">
              <a16:creationId xmlns:a16="http://schemas.microsoft.com/office/drawing/2014/main" id="{D574B4F1-AAFF-47BE-8D56-D84E3AFCA6CD}"/>
            </a:ext>
          </a:extLst>
        </xdr:cNvPr>
        <xdr:cNvSpPr>
          <a:spLocks noChangeAspect="1"/>
        </xdr:cNvSpPr>
      </xdr:nvSpPr>
      <xdr:spPr>
        <a:xfrm>
          <a:off x="6143625" y="6724650"/>
          <a:ext cx="164592" cy="158877"/>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247650</xdr:colOff>
      <xdr:row>39</xdr:row>
      <xdr:rowOff>0</xdr:rowOff>
    </xdr:from>
    <xdr:to>
      <xdr:col>5</xdr:col>
      <xdr:colOff>421767</xdr:colOff>
      <xdr:row>39</xdr:row>
      <xdr:rowOff>173708</xdr:rowOff>
    </xdr:to>
    <xdr:sp macro="HelpDownload" textlink="">
      <xdr:nvSpPr>
        <xdr:cNvPr id="22" name="Oval 21">
          <a:extLst>
            <a:ext uri="{FF2B5EF4-FFF2-40B4-BE49-F238E27FC236}">
              <a16:creationId xmlns:a16="http://schemas.microsoft.com/office/drawing/2014/main" id="{BDBD2FCF-99FC-48D8-AF0D-C9307D726469}"/>
            </a:ext>
          </a:extLst>
        </xdr:cNvPr>
        <xdr:cNvSpPr>
          <a:spLocks noChangeAspect="1"/>
        </xdr:cNvSpPr>
      </xdr:nvSpPr>
      <xdr:spPr>
        <a:xfrm>
          <a:off x="1962150" y="7724775"/>
          <a:ext cx="174117" cy="163231"/>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142875</xdr:colOff>
      <xdr:row>6</xdr:row>
      <xdr:rowOff>123825</xdr:rowOff>
    </xdr:from>
    <xdr:to>
      <xdr:col>6</xdr:col>
      <xdr:colOff>151278</xdr:colOff>
      <xdr:row>8</xdr:row>
      <xdr:rowOff>48745</xdr:rowOff>
    </xdr:to>
    <xdr:sp macro="" textlink="">
      <xdr:nvSpPr>
        <xdr:cNvPr id="23" name="hdrDuration">
          <a:extLst>
            <a:ext uri="{FF2B5EF4-FFF2-40B4-BE49-F238E27FC236}">
              <a16:creationId xmlns:a16="http://schemas.microsoft.com/office/drawing/2014/main" id="{31421D31-3033-4A25-A38F-64EE91D0F218}"/>
            </a:ext>
          </a:extLst>
        </xdr:cNvPr>
        <xdr:cNvSpPr/>
      </xdr:nvSpPr>
      <xdr:spPr>
        <a:xfrm>
          <a:off x="142875" y="2438400"/>
          <a:ext cx="2294403" cy="248770"/>
        </a:xfrm>
        <a:prstGeom prst="roundRect">
          <a:avLst/>
        </a:prstGeom>
        <a:solidFill>
          <a:srgbClr val="FF6600"/>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900" b="1" i="0" baseline="0">
              <a:solidFill>
                <a:schemeClr val="lt1"/>
              </a:solidFill>
              <a:effectLst/>
              <a:latin typeface="Arial" panose="020B0604020202020204" pitchFamily="34" charset="0"/>
              <a:ea typeface="+mn-ea"/>
              <a:cs typeface="Arial" panose="020B0604020202020204" pitchFamily="34" charset="0"/>
            </a:rPr>
            <a:t>Number of Valves to retrieve data from:</a:t>
          </a:r>
        </a:p>
      </xdr:txBody>
    </xdr:sp>
    <xdr:clientData/>
  </xdr:twoCellAnchor>
  <xdr:twoCellAnchor editAs="oneCell">
    <xdr:from>
      <xdr:col>9</xdr:col>
      <xdr:colOff>0</xdr:colOff>
      <xdr:row>7</xdr:row>
      <xdr:rowOff>0</xdr:rowOff>
    </xdr:from>
    <xdr:to>
      <xdr:col>9</xdr:col>
      <xdr:colOff>164592</xdr:colOff>
      <xdr:row>8</xdr:row>
      <xdr:rowOff>1306</xdr:rowOff>
    </xdr:to>
    <xdr:sp macro="HelpValveCount" textlink="">
      <xdr:nvSpPr>
        <xdr:cNvPr id="24" name="Oval 23">
          <a:extLst>
            <a:ext uri="{FF2B5EF4-FFF2-40B4-BE49-F238E27FC236}">
              <a16:creationId xmlns:a16="http://schemas.microsoft.com/office/drawing/2014/main" id="{86ED80D9-5436-485D-9622-A0DE3A153D8A}"/>
            </a:ext>
          </a:extLst>
        </xdr:cNvPr>
        <xdr:cNvSpPr>
          <a:spLocks noChangeAspect="1"/>
        </xdr:cNvSpPr>
      </xdr:nvSpPr>
      <xdr:spPr>
        <a:xfrm>
          <a:off x="3267075" y="2476500"/>
          <a:ext cx="158877" cy="163231"/>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5378</xdr:colOff>
      <xdr:row>1</xdr:row>
      <xdr:rowOff>152400</xdr:rowOff>
    </xdr:from>
    <xdr:to>
      <xdr:col>5</xdr:col>
      <xdr:colOff>149539</xdr:colOff>
      <xdr:row>1</xdr:row>
      <xdr:rowOff>796290</xdr:rowOff>
    </xdr:to>
    <xdr:pic>
      <xdr:nvPicPr>
        <xdr:cNvPr id="35" name="Picture 34">
          <a:extLst>
            <a:ext uri="{FF2B5EF4-FFF2-40B4-BE49-F238E27FC236}">
              <a16:creationId xmlns:a16="http://schemas.microsoft.com/office/drawing/2014/main" id="{7E7308FF-F0D7-46A4-A80C-537B94B86AC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29228" y="361950"/>
          <a:ext cx="1687211" cy="643890"/>
        </a:xfrm>
        <a:prstGeom prst="rect">
          <a:avLst/>
        </a:prstGeom>
      </xdr:spPr>
    </xdr:pic>
    <xdr:clientData/>
  </xdr:twoCellAnchor>
  <xdr:twoCellAnchor>
    <xdr:from>
      <xdr:col>0</xdr:col>
      <xdr:colOff>285751</xdr:colOff>
      <xdr:row>40</xdr:row>
      <xdr:rowOff>130967</xdr:rowOff>
    </xdr:from>
    <xdr:to>
      <xdr:col>5</xdr:col>
      <xdr:colOff>189072</xdr:colOff>
      <xdr:row>43</xdr:row>
      <xdr:rowOff>20477</xdr:rowOff>
    </xdr:to>
    <xdr:sp macro="[0]!ImportAndCopyIPData" textlink="">
      <xdr:nvSpPr>
        <xdr:cNvPr id="20" name="Rounded Rectangle 2">
          <a:extLst>
            <a:ext uri="{FF2B5EF4-FFF2-40B4-BE49-F238E27FC236}">
              <a16:creationId xmlns:a16="http://schemas.microsoft.com/office/drawing/2014/main" id="{887C75E5-FA67-4BC3-B78B-9347A787B75E}"/>
            </a:ext>
          </a:extLst>
        </xdr:cNvPr>
        <xdr:cNvSpPr/>
      </xdr:nvSpPr>
      <xdr:spPr bwMode="auto">
        <a:xfrm>
          <a:off x="285751" y="9644061"/>
          <a:ext cx="1760696" cy="46101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Import IP Address's</a:t>
          </a:r>
        </a:p>
      </xdr:txBody>
    </xdr:sp>
    <xdr:clientData/>
  </xdr:twoCellAnchor>
  <xdr:twoCellAnchor>
    <xdr:from>
      <xdr:col>7</xdr:col>
      <xdr:colOff>95250</xdr:colOff>
      <xdr:row>40</xdr:row>
      <xdr:rowOff>130968</xdr:rowOff>
    </xdr:from>
    <xdr:to>
      <xdr:col>10</xdr:col>
      <xdr:colOff>10477</xdr:colOff>
      <xdr:row>43</xdr:row>
      <xdr:rowOff>20478</xdr:rowOff>
    </xdr:to>
    <xdr:sp macro="ExportIPAddressWorkbook" textlink="">
      <xdr:nvSpPr>
        <xdr:cNvPr id="21" name="Rounded Rectangle 2">
          <a:extLst>
            <a:ext uri="{FF2B5EF4-FFF2-40B4-BE49-F238E27FC236}">
              <a16:creationId xmlns:a16="http://schemas.microsoft.com/office/drawing/2014/main" id="{B6869065-C3CD-4323-A938-DCD38498E7DF}"/>
            </a:ext>
          </a:extLst>
        </xdr:cNvPr>
        <xdr:cNvSpPr/>
      </xdr:nvSpPr>
      <xdr:spPr bwMode="auto">
        <a:xfrm>
          <a:off x="2750344" y="9644062"/>
          <a:ext cx="1760696" cy="46101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Export IP Address's</a:t>
          </a:r>
        </a:p>
      </xdr:txBody>
    </xdr:sp>
    <xdr:clientData/>
  </xdr:twoCellAnchor>
  <xdr:twoCellAnchor>
    <xdr:from>
      <xdr:col>12</xdr:col>
      <xdr:colOff>511175</xdr:colOff>
      <xdr:row>9</xdr:row>
      <xdr:rowOff>171449</xdr:rowOff>
    </xdr:from>
    <xdr:to>
      <xdr:col>13</xdr:col>
      <xdr:colOff>777875</xdr:colOff>
      <xdr:row>11</xdr:row>
      <xdr:rowOff>75437</xdr:rowOff>
    </xdr:to>
    <xdr:sp macro="" textlink="">
      <xdr:nvSpPr>
        <xdr:cNvPr id="25" name="hdrPort">
          <a:extLst>
            <a:ext uri="{FF2B5EF4-FFF2-40B4-BE49-F238E27FC236}">
              <a16:creationId xmlns:a16="http://schemas.microsoft.com/office/drawing/2014/main" id="{A79F58A3-4A29-2B63-DD90-783D614821C4}"/>
            </a:ext>
          </a:extLst>
        </xdr:cNvPr>
        <xdr:cNvSpPr/>
      </xdr:nvSpPr>
      <xdr:spPr>
        <a:xfrm>
          <a:off x="5978525" y="2743199"/>
          <a:ext cx="914400" cy="246888"/>
        </a:xfrm>
        <a:prstGeom prst="roundRect">
          <a:avLst/>
        </a:prstGeom>
        <a:solidFill>
          <a:srgbClr val="3A6E8E"/>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1000" b="1" i="0" baseline="0">
              <a:solidFill>
                <a:schemeClr val="lt1"/>
              </a:solidFill>
              <a:effectLst/>
              <a:latin typeface="Arial" panose="020B0604020202020204" pitchFamily="34" charset="0"/>
              <a:ea typeface="+mn-ea"/>
              <a:cs typeface="Arial" panose="020B0604020202020204" pitchFamily="34" charset="0"/>
            </a:rPr>
            <a:t>Port</a:t>
          </a:r>
        </a:p>
      </xdr:txBody>
    </xdr:sp>
    <xdr:clientData/>
  </xdr:twoCellAnchor>
  <xdr:twoCellAnchor>
    <xdr:from>
      <xdr:col>11</xdr:col>
      <xdr:colOff>495775</xdr:colOff>
      <xdr:row>40</xdr:row>
      <xdr:rowOff>130968</xdr:rowOff>
    </xdr:from>
    <xdr:to>
      <xdr:col>13</xdr:col>
      <xdr:colOff>582135</xdr:colOff>
      <xdr:row>43</xdr:row>
      <xdr:rowOff>20478</xdr:rowOff>
    </xdr:to>
    <xdr:sp macro="ShowAbout" textlink="">
      <xdr:nvSpPr>
        <xdr:cNvPr id="26" name="btnAbout">
          <a:extLst>
            <a:ext uri="{FF2B5EF4-FFF2-40B4-BE49-F238E27FC236}">
              <a16:creationId xmlns:a16="http://schemas.microsoft.com/office/drawing/2014/main" id="{067C67F1-4B7C-64EE-1174-EAB1795AA22B}"/>
            </a:ext>
          </a:extLst>
        </xdr:cNvPr>
        <xdr:cNvSpPr/>
      </xdr:nvSpPr>
      <xdr:spPr bwMode="auto">
        <a:xfrm>
          <a:off x="5372575" y="9450228"/>
          <a:ext cx="1320800" cy="43815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About</a:t>
          </a:r>
        </a:p>
      </xdr:txBody>
    </xdr:sp>
    <xdr:clientData/>
  </xdr:twoCellAnchor>
  <xdr:twoCellAnchor>
    <xdr:from>
      <xdr:col>14</xdr:col>
      <xdr:colOff>376395</xdr:colOff>
      <xdr:row>40</xdr:row>
      <xdr:rowOff>130968</xdr:rowOff>
    </xdr:from>
    <xdr:to>
      <xdr:col>17</xdr:col>
      <xdr:colOff>549115</xdr:colOff>
      <xdr:row>43</xdr:row>
      <xdr:rowOff>20478</xdr:rowOff>
    </xdr:to>
    <xdr:sp macro="CreateDownloadScript" textlink="">
      <xdr:nvSpPr>
        <xdr:cNvPr id="27" name="btnCreateScript">
          <a:extLst>
            <a:ext uri="{FF2B5EF4-FFF2-40B4-BE49-F238E27FC236}">
              <a16:creationId xmlns:a16="http://schemas.microsoft.com/office/drawing/2014/main" id="{AA9CA780-E8DD-AA10-C381-4FC38052D4DB}"/>
            </a:ext>
          </a:extLst>
        </xdr:cNvPr>
        <xdr:cNvSpPr/>
      </xdr:nvSpPr>
      <xdr:spPr bwMode="auto">
        <a:xfrm>
          <a:off x="7074375" y="9450228"/>
          <a:ext cx="2260600" cy="43815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000" b="1" i="0" baseline="0">
              <a:solidFill>
                <a:schemeClr val="lt1"/>
              </a:solidFill>
              <a:effectLst/>
              <a:latin typeface="Arial" panose="020B0604020202020204" pitchFamily="34" charset="0"/>
              <a:ea typeface="+mn-ea"/>
              <a:cs typeface="Arial" panose="020B0604020202020204" pitchFamily="34" charset="0"/>
            </a:rPr>
            <a:t>Create Download Script</a:t>
          </a:r>
        </a:p>
      </xdr:txBody>
    </xdr:sp>
    <xdr:clientData/>
  </xdr:twoCellAnchor>
  <xdr:twoCellAnchor>
    <xdr:from>
      <xdr:col>14</xdr:col>
      <xdr:colOff>127000</xdr:colOff>
      <xdr:row>9</xdr:row>
      <xdr:rowOff>171449</xdr:rowOff>
    </xdr:from>
    <xdr:to>
      <xdr:col>14</xdr:col>
      <xdr:colOff>1041400</xdr:colOff>
      <xdr:row>11</xdr:row>
      <xdr:rowOff>75437</xdr:rowOff>
    </xdr:to>
    <xdr:sp macro="" textlink="">
      <xdr:nvSpPr>
        <xdr:cNvPr id="28" name="hdrPort">
          <a:extLst>
            <a:ext uri="{FF2B5EF4-FFF2-40B4-BE49-F238E27FC236}">
              <a16:creationId xmlns:a16="http://schemas.microsoft.com/office/drawing/2014/main" id="{E8A74655-8FC9-4756-BDC1-26F97DC82813}"/>
            </a:ext>
          </a:extLst>
        </xdr:cNvPr>
        <xdr:cNvSpPr/>
      </xdr:nvSpPr>
      <xdr:spPr>
        <a:xfrm>
          <a:off x="7080250" y="2743199"/>
          <a:ext cx="914400" cy="246888"/>
        </a:xfrm>
        <a:prstGeom prst="roundRect">
          <a:avLst/>
        </a:prstGeom>
        <a:solidFill>
          <a:srgbClr val="3A6E8E"/>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1000" b="1" i="0" baseline="0">
              <a:solidFill>
                <a:schemeClr val="lt1"/>
              </a:solidFill>
              <a:effectLst/>
              <a:latin typeface="Arial" panose="020B0604020202020204" pitchFamily="34" charset="0"/>
              <a:ea typeface="+mn-ea"/>
              <a:cs typeface="Arial" panose="020B0604020202020204" pitchFamily="34" charset="0"/>
            </a:rPr>
            <a:t>Version</a:t>
          </a:r>
        </a:p>
      </xdr:txBody>
    </xdr:sp>
    <xdr:clientData/>
  </xdr:twoCellAnchor>
  <xdr:twoCellAnchor>
    <xdr:from>
      <xdr:col>15</xdr:col>
      <xdr:colOff>0</xdr:colOff>
      <xdr:row>9</xdr:row>
      <xdr:rowOff>171449</xdr:rowOff>
    </xdr:from>
    <xdr:to>
      <xdr:col>15</xdr:col>
      <xdr:colOff>914400</xdr:colOff>
      <xdr:row>11</xdr:row>
      <xdr:rowOff>75437</xdr:rowOff>
    </xdr:to>
    <xdr:sp macro="" textlink="">
      <xdr:nvSpPr>
        <xdr:cNvPr id="29" name="hdrPort">
          <a:extLst>
            <a:ext uri="{FF2B5EF4-FFF2-40B4-BE49-F238E27FC236}">
              <a16:creationId xmlns:a16="http://schemas.microsoft.com/office/drawing/2014/main" id="{4526E625-99B3-40FE-BE78-356D25EB741E}"/>
            </a:ext>
          </a:extLst>
        </xdr:cNvPr>
        <xdr:cNvSpPr/>
      </xdr:nvSpPr>
      <xdr:spPr>
        <a:xfrm>
          <a:off x="8181975" y="2743199"/>
          <a:ext cx="914400" cy="246888"/>
        </a:xfrm>
        <a:prstGeom prst="roundRect">
          <a:avLst/>
        </a:prstGeom>
        <a:solidFill>
          <a:srgbClr val="3A6E8E"/>
        </a:solidFill>
        <a:ln/>
        <a:scene3d>
          <a:camera prst="orthographicFront">
            <a:rot lat="0" lon="0" rev="0"/>
          </a:camera>
          <a:lightRig rig="threePt" dir="t">
            <a:rot lat="0" lon="0" rev="1200000"/>
          </a:lightRig>
        </a:scene3d>
        <a:sp3d>
          <a:bevelT w="63500" h="25400" prst="coolSlan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rtl="0"/>
          <a:r>
            <a:rPr lang="en-US" sz="1000" b="1" i="0" baseline="0">
              <a:solidFill>
                <a:schemeClr val="lt1"/>
              </a:solidFill>
              <a:effectLst/>
              <a:latin typeface="Arial" panose="020B0604020202020204" pitchFamily="34" charset="0"/>
              <a:ea typeface="+mn-ea"/>
              <a:cs typeface="Arial" panose="020B0604020202020204" pitchFamily="34" charset="0"/>
            </a:rPr>
            <a:t>Firmware</a:t>
          </a:r>
        </a:p>
      </xdr:txBody>
    </xdr:sp>
    <xdr:clientData/>
  </xdr:twoCellAnchor>
  <xdr:twoCellAnchor editAs="oneCell">
    <xdr:from>
      <xdr:col>1</xdr:col>
      <xdr:colOff>0</xdr:colOff>
      <xdr:row>46</xdr:row>
      <xdr:rowOff>0</xdr:rowOff>
    </xdr:from>
    <xdr:to>
      <xdr:col>5</xdr:col>
      <xdr:colOff>82398</xdr:colOff>
      <xdr:row>49</xdr:row>
      <xdr:rowOff>125730</xdr:rowOff>
    </xdr:to>
    <xdr:pic>
      <xdr:nvPicPr>
        <xdr:cNvPr id="30" name="Picture 29">
          <a:hlinkClick xmlns:r="http://schemas.openxmlformats.org/officeDocument/2006/relationships" r:id="rId3"/>
          <a:extLst>
            <a:ext uri="{FF2B5EF4-FFF2-40B4-BE49-F238E27FC236}">
              <a16:creationId xmlns:a16="http://schemas.microsoft.com/office/drawing/2014/main" id="{E25B76FE-8FED-47B4-BEED-29696BEABD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3375" y="11020425"/>
          <a:ext cx="1663548" cy="6400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178733</xdr:colOff>
      <xdr:row>1</xdr:row>
      <xdr:rowOff>80010</xdr:rowOff>
    </xdr:from>
    <xdr:to>
      <xdr:col>12</xdr:col>
      <xdr:colOff>350520</xdr:colOff>
      <xdr:row>1</xdr:row>
      <xdr:rowOff>994410</xdr:rowOff>
    </xdr:to>
    <xdr:grpSp>
      <xdr:nvGrpSpPr>
        <xdr:cNvPr id="2" name="Group 1">
          <a:extLst>
            <a:ext uri="{FF2B5EF4-FFF2-40B4-BE49-F238E27FC236}">
              <a16:creationId xmlns:a16="http://schemas.microsoft.com/office/drawing/2014/main" id="{5C75E267-6F46-486B-B9E7-11755740E305}"/>
            </a:ext>
          </a:extLst>
        </xdr:cNvPr>
        <xdr:cNvGrpSpPr/>
      </xdr:nvGrpSpPr>
      <xdr:grpSpPr>
        <a:xfrm>
          <a:off x="178733" y="285750"/>
          <a:ext cx="11975167" cy="914400"/>
          <a:chOff x="1150297" y="5600700"/>
          <a:chExt cx="10029825" cy="742949"/>
        </a:xfrm>
      </xdr:grpSpPr>
      <xdr:sp macro="" textlink="">
        <xdr:nvSpPr>
          <xdr:cNvPr id="3" name="Round Same Side Corner Rectangle 4">
            <a:extLst>
              <a:ext uri="{FF2B5EF4-FFF2-40B4-BE49-F238E27FC236}">
                <a16:creationId xmlns:a16="http://schemas.microsoft.com/office/drawing/2014/main" id="{2838F1D0-BB4E-9AFC-6A16-B49CF68E8E0B}"/>
              </a:ext>
            </a:extLst>
          </xdr:cNvPr>
          <xdr:cNvSpPr/>
        </xdr:nvSpPr>
        <xdr:spPr bwMode="auto">
          <a:xfrm>
            <a:off x="1150297" y="5600700"/>
            <a:ext cx="10029825" cy="742949"/>
          </a:xfrm>
          <a:prstGeom prst="round2SameRect">
            <a:avLst/>
          </a:prstGeom>
          <a:solidFill>
            <a:srgbClr val="3A6E8E"/>
          </a:solidFill>
          <a:ln/>
        </xdr:spPr>
        <xdr:style>
          <a:lnRef idx="0">
            <a:schemeClr val="accent2"/>
          </a:lnRef>
          <a:fillRef idx="3">
            <a:schemeClr val="accent2"/>
          </a:fillRef>
          <a:effectRef idx="3">
            <a:schemeClr val="accent2"/>
          </a:effectRef>
          <a:fontRef idx="minor">
            <a:schemeClr val="lt1"/>
          </a:fontRef>
        </xdr:style>
        <xdr:txBody>
          <a:bodyPr vertOverflow="clip" wrap="square" lIns="0" tIns="45720" rIns="0" bIns="45720" anchor="ctr" upright="1"/>
          <a:lstStyle/>
          <a:p>
            <a:pPr marL="0" indent="0" algn="ctr" rtl="0">
              <a:defRPr sz="1000"/>
            </a:pPr>
            <a:endParaRPr lang="en-US" sz="1100" b="1" i="0" u="none" strike="noStrike" baseline="0">
              <a:solidFill>
                <a:srgbClr val="FFFFFF"/>
              </a:solidFill>
              <a:latin typeface="Arial" panose="020B0604020202020204" pitchFamily="34" charset="0"/>
              <a:ea typeface="+mn-ea"/>
              <a:cs typeface="Arial" panose="020B0604020202020204" pitchFamily="34" charset="0"/>
            </a:endParaRPr>
          </a:p>
        </xdr:txBody>
      </xdr:sp>
      <xdr:sp macro="" textlink="">
        <xdr:nvSpPr>
          <xdr:cNvPr id="4" name="TextBox 3">
            <a:extLst>
              <a:ext uri="{FF2B5EF4-FFF2-40B4-BE49-F238E27FC236}">
                <a16:creationId xmlns:a16="http://schemas.microsoft.com/office/drawing/2014/main" id="{FC807B7A-194C-DE8E-B6D9-65A38EB8EA48}"/>
              </a:ext>
            </a:extLst>
          </xdr:cNvPr>
          <xdr:cNvSpPr txBox="1"/>
        </xdr:nvSpPr>
        <xdr:spPr>
          <a:xfrm>
            <a:off x="2775806" y="5620154"/>
            <a:ext cx="6607668" cy="637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4000">
                <a:ln>
                  <a:noFill/>
                </a:ln>
                <a:solidFill>
                  <a:schemeClr val="bg1"/>
                </a:solidFill>
                <a:effectLst>
                  <a:outerShdw blurRad="50800" dist="25400" dir="8100000" algn="tr" rotWithShape="0">
                    <a:prstClr val="black">
                      <a:alpha val="70000"/>
                    </a:prstClr>
                  </a:outerShdw>
                </a:effectLst>
                <a:latin typeface="Arial Narrow" panose="020B0606020202030204" pitchFamily="34" charset="0"/>
                <a:ea typeface="Arial Unicode MS" panose="020B0604020202020204" pitchFamily="34" charset="-128"/>
                <a:cs typeface="Arial Unicode MS" panose="020B0604020202020204" pitchFamily="34" charset="-128"/>
              </a:rPr>
              <a:t>Energy Valve Explorer</a:t>
            </a:r>
            <a:endParaRPr lang="en-US" sz="4000" b="1">
              <a:ln>
                <a:noFill/>
              </a:ln>
              <a:solidFill>
                <a:schemeClr val="bg1"/>
              </a:solidFill>
              <a:effectLst>
                <a:outerShdw blurRad="50800" dist="25400" dir="8100000" algn="tr" rotWithShape="0">
                  <a:prstClr val="black">
                    <a:alpha val="70000"/>
                  </a:prstClr>
                </a:outerShdw>
              </a:effectLst>
              <a:latin typeface="Arial Narrow" panose="020B0606020202030204" pitchFamily="34" charset="0"/>
              <a:ea typeface="Arial Unicode MS" panose="020B0604020202020204" pitchFamily="34" charset="-128"/>
              <a:cs typeface="Arial Unicode MS" panose="020B0604020202020204" pitchFamily="34" charset="-128"/>
            </a:endParaRPr>
          </a:p>
        </xdr:txBody>
      </xdr:sp>
    </xdr:grpSp>
    <xdr:clientData/>
  </xdr:twoCellAnchor>
  <xdr:twoCellAnchor editAs="absolute">
    <xdr:from>
      <xdr:col>0</xdr:col>
      <xdr:colOff>338753</xdr:colOff>
      <xdr:row>1</xdr:row>
      <xdr:rowOff>156210</xdr:rowOff>
    </xdr:from>
    <xdr:to>
      <xdr:col>1</xdr:col>
      <xdr:colOff>1454464</xdr:colOff>
      <xdr:row>1</xdr:row>
      <xdr:rowOff>800100</xdr:rowOff>
    </xdr:to>
    <xdr:pic>
      <xdr:nvPicPr>
        <xdr:cNvPr id="5" name="Picture 4">
          <a:extLst>
            <a:ext uri="{FF2B5EF4-FFF2-40B4-BE49-F238E27FC236}">
              <a16:creationId xmlns:a16="http://schemas.microsoft.com/office/drawing/2014/main" id="{4C97E283-642A-4F6B-A57F-B653448A17B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8753" y="361950"/>
          <a:ext cx="1725311" cy="643890"/>
        </a:xfrm>
        <a:prstGeom prst="rect">
          <a:avLst/>
        </a:prstGeom>
      </xdr:spPr>
    </xdr:pic>
    <xdr:clientData/>
  </xdr:twoCellAnchor>
  <xdr:twoCellAnchor editAs="absolute">
    <xdr:from>
      <xdr:col>1</xdr:col>
      <xdr:colOff>0</xdr:colOff>
      <xdr:row>7</xdr:row>
      <xdr:rowOff>0</xdr:rowOff>
    </xdr:from>
    <xdr:to>
      <xdr:col>1</xdr:col>
      <xdr:colOff>2159000</xdr:colOff>
      <xdr:row>8</xdr:row>
      <xdr:rowOff>146685</xdr:rowOff>
    </xdr:to>
    <xdr:sp macro="GetSetupInformation" textlink="">
      <xdr:nvSpPr>
        <xdr:cNvPr id="6" name="Rounded Rectangle 26">
          <a:extLst>
            <a:ext uri="{FF2B5EF4-FFF2-40B4-BE49-F238E27FC236}">
              <a16:creationId xmlns:a16="http://schemas.microsoft.com/office/drawing/2014/main" id="{EA7B91DA-078F-43CA-8390-833BAE67A570}"/>
            </a:ext>
          </a:extLst>
        </xdr:cNvPr>
        <xdr:cNvSpPr/>
      </xdr:nvSpPr>
      <xdr:spPr bwMode="auto">
        <a:xfrm>
          <a:off x="609600" y="2278380"/>
          <a:ext cx="2159000" cy="32956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Setup Information</a:t>
          </a:r>
        </a:p>
      </xdr:txBody>
    </xdr:sp>
    <xdr:clientData/>
  </xdr:twoCellAnchor>
  <xdr:twoCellAnchor editAs="absolute">
    <xdr:from>
      <xdr:col>3</xdr:col>
      <xdr:colOff>609600</xdr:colOff>
      <xdr:row>7</xdr:row>
      <xdr:rowOff>0</xdr:rowOff>
    </xdr:from>
    <xdr:to>
      <xdr:col>6</xdr:col>
      <xdr:colOff>124460</xdr:colOff>
      <xdr:row>8</xdr:row>
      <xdr:rowOff>146685</xdr:rowOff>
    </xdr:to>
    <xdr:sp macro="GetDiagnostics" textlink="">
      <xdr:nvSpPr>
        <xdr:cNvPr id="7" name="Rounded Rectangle 26">
          <a:extLst>
            <a:ext uri="{FF2B5EF4-FFF2-40B4-BE49-F238E27FC236}">
              <a16:creationId xmlns:a16="http://schemas.microsoft.com/office/drawing/2014/main" id="{CA0A8C1E-A363-484E-961B-115A34009D3B}"/>
            </a:ext>
          </a:extLst>
        </xdr:cNvPr>
        <xdr:cNvSpPr/>
      </xdr:nvSpPr>
      <xdr:spPr bwMode="auto">
        <a:xfrm>
          <a:off x="5989320" y="2278380"/>
          <a:ext cx="2159000" cy="32956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Diagnostics</a:t>
          </a:r>
        </a:p>
      </xdr:txBody>
    </xdr:sp>
    <xdr:clientData/>
  </xdr:twoCellAnchor>
  <mc:AlternateContent xmlns:mc="http://schemas.openxmlformats.org/markup-compatibility/2006">
    <mc:Choice xmlns:a14="http://schemas.microsoft.com/office/drawing/2010/main" Requires="a14">
      <xdr:twoCellAnchor editAs="oneCell">
        <xdr:from>
          <xdr:col>0</xdr:col>
          <xdr:colOff>45720</xdr:colOff>
          <xdr:row>77</xdr:row>
          <xdr:rowOff>30480</xdr:rowOff>
        </xdr:from>
        <xdr:to>
          <xdr:col>0</xdr:col>
          <xdr:colOff>281940</xdr:colOff>
          <xdr:row>78</xdr:row>
          <xdr:rowOff>60960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78</xdr:row>
          <xdr:rowOff>30480</xdr:rowOff>
        </xdr:from>
        <xdr:to>
          <xdr:col>0</xdr:col>
          <xdr:colOff>281940</xdr:colOff>
          <xdr:row>79</xdr:row>
          <xdr:rowOff>60960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79</xdr:row>
          <xdr:rowOff>30480</xdr:rowOff>
        </xdr:from>
        <xdr:to>
          <xdr:col>0</xdr:col>
          <xdr:colOff>281940</xdr:colOff>
          <xdr:row>80</xdr:row>
          <xdr:rowOff>60960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80</xdr:row>
          <xdr:rowOff>30480</xdr:rowOff>
        </xdr:from>
        <xdr:to>
          <xdr:col>0</xdr:col>
          <xdr:colOff>281940</xdr:colOff>
          <xdr:row>81</xdr:row>
          <xdr:rowOff>60960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81</xdr:row>
          <xdr:rowOff>30480</xdr:rowOff>
        </xdr:from>
        <xdr:to>
          <xdr:col>0</xdr:col>
          <xdr:colOff>281940</xdr:colOff>
          <xdr:row>82</xdr:row>
          <xdr:rowOff>60960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82</xdr:row>
          <xdr:rowOff>30480</xdr:rowOff>
        </xdr:from>
        <xdr:to>
          <xdr:col>0</xdr:col>
          <xdr:colOff>281940</xdr:colOff>
          <xdr:row>83</xdr:row>
          <xdr:rowOff>60960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83</xdr:row>
          <xdr:rowOff>30480</xdr:rowOff>
        </xdr:from>
        <xdr:to>
          <xdr:col>0</xdr:col>
          <xdr:colOff>281940</xdr:colOff>
          <xdr:row>84</xdr:row>
          <xdr:rowOff>60960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84</xdr:row>
          <xdr:rowOff>30480</xdr:rowOff>
        </xdr:from>
        <xdr:to>
          <xdr:col>0</xdr:col>
          <xdr:colOff>281940</xdr:colOff>
          <xdr:row>85</xdr:row>
          <xdr:rowOff>60960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85</xdr:row>
          <xdr:rowOff>30480</xdr:rowOff>
        </xdr:from>
        <xdr:to>
          <xdr:col>0</xdr:col>
          <xdr:colOff>281940</xdr:colOff>
          <xdr:row>86</xdr:row>
          <xdr:rowOff>60960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86</xdr:row>
          <xdr:rowOff>30480</xdr:rowOff>
        </xdr:from>
        <xdr:to>
          <xdr:col>0</xdr:col>
          <xdr:colOff>281940</xdr:colOff>
          <xdr:row>87</xdr:row>
          <xdr:rowOff>60960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87</xdr:row>
          <xdr:rowOff>30480</xdr:rowOff>
        </xdr:from>
        <xdr:to>
          <xdr:col>0</xdr:col>
          <xdr:colOff>281940</xdr:colOff>
          <xdr:row>88</xdr:row>
          <xdr:rowOff>60960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88</xdr:row>
          <xdr:rowOff>30480</xdr:rowOff>
        </xdr:from>
        <xdr:to>
          <xdr:col>0</xdr:col>
          <xdr:colOff>281940</xdr:colOff>
          <xdr:row>89</xdr:row>
          <xdr:rowOff>60960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0</xdr:colOff>
      <xdr:row>90</xdr:row>
      <xdr:rowOff>7620</xdr:rowOff>
    </xdr:from>
    <xdr:to>
      <xdr:col>1</xdr:col>
      <xdr:colOff>2413000</xdr:colOff>
      <xdr:row>92</xdr:row>
      <xdr:rowOff>83820</xdr:rowOff>
    </xdr:to>
    <xdr:sp macro="GetLiveDataSelected" textlink="">
      <xdr:nvSpPr>
        <xdr:cNvPr id="8" name="Rounded Rectangle 2">
          <a:extLst>
            <a:ext uri="{FF2B5EF4-FFF2-40B4-BE49-F238E27FC236}">
              <a16:creationId xmlns:a16="http://schemas.microsoft.com/office/drawing/2014/main" id="{A6F0EB08-AA6D-49C3-BB42-8B02E6779AAD}"/>
            </a:ext>
          </a:extLst>
        </xdr:cNvPr>
        <xdr:cNvSpPr/>
      </xdr:nvSpPr>
      <xdr:spPr bwMode="auto">
        <a:xfrm>
          <a:off x="609600" y="17480280"/>
          <a:ext cx="2413000" cy="44196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Get Selected Live Data</a:t>
          </a:r>
        </a:p>
      </xdr:txBody>
    </xdr:sp>
    <xdr:clientData/>
  </xdr:twoCellAnchor>
  <xdr:twoCellAnchor editAs="absolute">
    <xdr:from>
      <xdr:col>3</xdr:col>
      <xdr:colOff>609600</xdr:colOff>
      <xdr:row>90</xdr:row>
      <xdr:rowOff>7620</xdr:rowOff>
    </xdr:from>
    <xdr:to>
      <xdr:col>4</xdr:col>
      <xdr:colOff>800100</xdr:colOff>
      <xdr:row>92</xdr:row>
      <xdr:rowOff>83820</xdr:rowOff>
    </xdr:to>
    <xdr:sp macro="SelectAllLive" textlink="">
      <xdr:nvSpPr>
        <xdr:cNvPr id="9" name="Rounded Rectangle 2">
          <a:extLst>
            <a:ext uri="{FF2B5EF4-FFF2-40B4-BE49-F238E27FC236}">
              <a16:creationId xmlns:a16="http://schemas.microsoft.com/office/drawing/2014/main" id="{C3B9871A-48C6-4490-B8CE-B0A0F9AECCAF}"/>
            </a:ext>
          </a:extLst>
        </xdr:cNvPr>
        <xdr:cNvSpPr/>
      </xdr:nvSpPr>
      <xdr:spPr bwMode="auto">
        <a:xfrm>
          <a:off x="5989320" y="17480280"/>
          <a:ext cx="1143000" cy="44196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Select All</a:t>
          </a:r>
        </a:p>
      </xdr:txBody>
    </xdr:sp>
    <xdr:clientData/>
  </xdr:twoCellAnchor>
  <xdr:twoCellAnchor editAs="absolute">
    <xdr:from>
      <xdr:col>4</xdr:col>
      <xdr:colOff>876300</xdr:colOff>
      <xdr:row>90</xdr:row>
      <xdr:rowOff>7620</xdr:rowOff>
    </xdr:from>
    <xdr:to>
      <xdr:col>6</xdr:col>
      <xdr:colOff>327660</xdr:colOff>
      <xdr:row>92</xdr:row>
      <xdr:rowOff>83820</xdr:rowOff>
    </xdr:to>
    <xdr:sp macro="ClearAllLive" textlink="">
      <xdr:nvSpPr>
        <xdr:cNvPr id="10" name="Rounded Rectangle 2">
          <a:extLst>
            <a:ext uri="{FF2B5EF4-FFF2-40B4-BE49-F238E27FC236}">
              <a16:creationId xmlns:a16="http://schemas.microsoft.com/office/drawing/2014/main" id="{2A17A803-8F1D-4654-9DAF-D5ABCA6DA34D}"/>
            </a:ext>
          </a:extLst>
        </xdr:cNvPr>
        <xdr:cNvSpPr/>
      </xdr:nvSpPr>
      <xdr:spPr bwMode="auto">
        <a:xfrm>
          <a:off x="7208520" y="17480280"/>
          <a:ext cx="1143000" cy="44196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Clear All</a:t>
          </a:r>
        </a:p>
      </xdr:txBody>
    </xdr:sp>
    <xdr:clientData/>
  </xdr:twoCellAnchor>
  <xdr:twoCellAnchor editAs="absolute">
    <xdr:from>
      <xdr:col>6</xdr:col>
      <xdr:colOff>266700</xdr:colOff>
      <xdr:row>7</xdr:row>
      <xdr:rowOff>0</xdr:rowOff>
    </xdr:from>
    <xdr:to>
      <xdr:col>11</xdr:col>
      <xdr:colOff>17780</xdr:colOff>
      <xdr:row>8</xdr:row>
      <xdr:rowOff>146685</xdr:rowOff>
    </xdr:to>
    <xdr:sp macro="DownloadDiagnostics" textlink="">
      <xdr:nvSpPr>
        <xdr:cNvPr id="11" name="Rounded Rectangle 26">
          <a:extLst>
            <a:ext uri="{FF2B5EF4-FFF2-40B4-BE49-F238E27FC236}">
              <a16:creationId xmlns:a16="http://schemas.microsoft.com/office/drawing/2014/main" id="{3F51EE89-7440-4D11-8119-9969700C9A54}"/>
            </a:ext>
          </a:extLst>
        </xdr:cNvPr>
        <xdr:cNvSpPr/>
      </xdr:nvSpPr>
      <xdr:spPr bwMode="auto">
        <a:xfrm>
          <a:off x="8290560" y="2278380"/>
          <a:ext cx="2921000" cy="32956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000" b="1" i="0" baseline="0">
              <a:solidFill>
                <a:schemeClr val="lt1"/>
              </a:solidFill>
              <a:effectLst/>
              <a:latin typeface="Arial" panose="020B0604020202020204" pitchFamily="34" charset="0"/>
              <a:ea typeface="+mn-ea"/>
              <a:cs typeface="Arial" panose="020B0604020202020204" pitchFamily="34" charset="0"/>
            </a:rPr>
            <a:t>Download Diagnostics File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5FFBC-898B-49D9-AFFE-7DC931B1D232}">
  <sheetPr codeName="NetworkDownload">
    <tabColor rgb="FF339966"/>
  </sheetPr>
  <dimension ref="A1:V46"/>
  <sheetViews>
    <sheetView showGridLines="0" tabSelected="1" topLeftCell="A18" zoomScale="80" zoomScaleNormal="80" workbookViewId="0">
      <selection activeCell="M54" sqref="M54"/>
    </sheetView>
  </sheetViews>
  <sheetFormatPr defaultColWidth="9.44140625" defaultRowHeight="13.2" x14ac:dyDescent="0.25"/>
  <cols>
    <col min="1" max="1" width="4.88671875" style="2" customWidth="1"/>
    <col min="2" max="2" width="8.5546875" style="3" customWidth="1"/>
    <col min="3" max="3" width="2.5546875" style="4" customWidth="1"/>
    <col min="4" max="4" width="9.44140625" style="3"/>
    <col min="5" max="5" width="2.5546875" style="4" customWidth="1"/>
    <col min="6" max="6" width="9.44140625" style="3"/>
    <col min="7" max="7" width="2.5546875" style="4" customWidth="1"/>
    <col min="8" max="8" width="9.44140625" style="3"/>
    <col min="9" max="9" width="3.5546875" style="2" customWidth="1"/>
    <col min="10" max="10" width="14.5546875" style="3" customWidth="1"/>
    <col min="11" max="11" width="3.5546875" style="2" customWidth="1"/>
    <col min="12" max="12" width="8.88671875" style="2" customWidth="1"/>
    <col min="13" max="13" width="9.44140625" style="2"/>
    <col min="14" max="14" width="12.21875" style="2" customWidth="1"/>
    <col min="15" max="15" width="17.88671875" style="2" customWidth="1"/>
    <col min="16" max="16" width="14.21875" style="2" customWidth="1"/>
    <col min="17" max="18" width="9.44140625" style="2"/>
    <col min="19" max="19" width="8.5546875" style="2" customWidth="1"/>
    <col min="20" max="20" width="30.5546875" style="2" customWidth="1"/>
    <col min="21" max="21" width="30.88671875" style="2" customWidth="1"/>
    <col min="22" max="22" width="31.5546875" style="2" customWidth="1"/>
    <col min="23" max="16384" width="9.44140625" style="2"/>
  </cols>
  <sheetData>
    <row r="1" spans="1:22" s="1" customFormat="1" ht="16.5" customHeight="1" thickBot="1" x14ac:dyDescent="0.3"/>
    <row r="2" spans="1:22" ht="79.95" customHeight="1" x14ac:dyDescent="0.25">
      <c r="H2" s="5"/>
    </row>
    <row r="3" spans="1:22" ht="25.2" customHeight="1" x14ac:dyDescent="0.25">
      <c r="H3" s="5"/>
      <c r="L3" s="18"/>
    </row>
    <row r="4" spans="1:22" x14ac:dyDescent="0.25">
      <c r="A4" s="6"/>
      <c r="B4" s="7" t="s">
        <v>0</v>
      </c>
      <c r="C4" s="7"/>
      <c r="D4" s="7"/>
      <c r="E4" s="7"/>
      <c r="F4" s="7"/>
      <c r="G4" s="8"/>
      <c r="H4" s="9" t="s">
        <v>7</v>
      </c>
      <c r="L4" s="34"/>
      <c r="M4" s="34"/>
      <c r="N4" s="34"/>
      <c r="O4" s="34"/>
    </row>
    <row r="5" spans="1:22" x14ac:dyDescent="0.25">
      <c r="A5" s="3"/>
      <c r="C5" s="3"/>
      <c r="E5" s="3"/>
      <c r="G5" s="3"/>
      <c r="H5" s="10"/>
      <c r="I5" s="3"/>
      <c r="L5" s="2" t="s">
        <v>1</v>
      </c>
    </row>
    <row r="6" spans="1:22" x14ac:dyDescent="0.25">
      <c r="B6" s="7" t="s">
        <v>43</v>
      </c>
      <c r="C6" s="7"/>
      <c r="D6" s="7"/>
      <c r="E6" s="7"/>
      <c r="F6" s="7"/>
      <c r="G6" s="7"/>
      <c r="H6" s="11">
        <v>31</v>
      </c>
      <c r="I6" s="12"/>
      <c r="L6" s="2" t="s">
        <v>1</v>
      </c>
    </row>
    <row r="7" spans="1:22" x14ac:dyDescent="0.25">
      <c r="B7" s="7"/>
      <c r="C7" s="7"/>
      <c r="D7" s="7"/>
      <c r="E7" s="7"/>
      <c r="F7" s="7"/>
      <c r="G7" s="7"/>
      <c r="H7" s="13"/>
      <c r="L7" s="2" t="s">
        <v>1</v>
      </c>
    </row>
    <row r="8" spans="1:22" x14ac:dyDescent="0.25">
      <c r="B8" s="7"/>
      <c r="C8" s="7"/>
      <c r="D8" s="7" t="s">
        <v>2</v>
      </c>
      <c r="E8" s="7"/>
      <c r="F8" s="7"/>
      <c r="G8" s="7"/>
      <c r="H8" s="14">
        <f>COUNTA(J13:J32)</f>
        <v>1</v>
      </c>
      <c r="L8" s="2" t="s">
        <v>1</v>
      </c>
    </row>
    <row r="11" spans="1:22" x14ac:dyDescent="0.25">
      <c r="B11" s="33" t="s">
        <v>3</v>
      </c>
      <c r="C11" s="33"/>
      <c r="D11" s="33"/>
      <c r="E11" s="33"/>
      <c r="F11" s="33"/>
      <c r="G11" s="33"/>
      <c r="H11" s="33"/>
      <c r="J11" s="15" t="s">
        <v>4</v>
      </c>
    </row>
    <row r="12" spans="1:22" ht="15.6" x14ac:dyDescent="0.25">
      <c r="B12" s="5"/>
      <c r="S12" s="20"/>
      <c r="T12" s="20"/>
      <c r="U12" s="20"/>
      <c r="V12" s="20"/>
    </row>
    <row r="13" spans="1:22" ht="21" customHeight="1" x14ac:dyDescent="0.3">
      <c r="A13" s="16">
        <v>1</v>
      </c>
      <c r="B13" s="16">
        <v>192</v>
      </c>
      <c r="C13" s="16" t="s">
        <v>5</v>
      </c>
      <c r="D13" s="16">
        <v>168</v>
      </c>
      <c r="E13" s="16" t="s">
        <v>5</v>
      </c>
      <c r="F13" s="16">
        <v>4</v>
      </c>
      <c r="G13" s="16" t="s">
        <v>5</v>
      </c>
      <c r="H13" s="16">
        <v>143</v>
      </c>
      <c r="J13" s="16" t="s">
        <v>6</v>
      </c>
      <c r="K13" s="19"/>
      <c r="L13" s="16"/>
      <c r="N13" s="16">
        <v>8443</v>
      </c>
      <c r="O13" s="16" t="s">
        <v>38</v>
      </c>
      <c r="P13" s="16" t="s">
        <v>39</v>
      </c>
      <c r="S13" s="21"/>
      <c r="T13" s="21"/>
      <c r="U13" s="21"/>
      <c r="V13" s="21"/>
    </row>
    <row r="14" spans="1:22" ht="21" customHeight="1" x14ac:dyDescent="0.3">
      <c r="A14" s="17">
        <v>2</v>
      </c>
      <c r="B14" s="17"/>
      <c r="C14" s="17"/>
      <c r="D14" s="17"/>
      <c r="E14" s="17"/>
      <c r="F14" s="17"/>
      <c r="G14" s="17"/>
      <c r="H14" s="17"/>
      <c r="J14" s="17"/>
      <c r="K14" s="19"/>
      <c r="L14" s="17"/>
      <c r="N14" s="17"/>
      <c r="O14" s="17"/>
      <c r="P14" s="17"/>
      <c r="S14" s="21"/>
      <c r="T14" s="21"/>
      <c r="U14" s="21"/>
      <c r="V14" s="21"/>
    </row>
    <row r="15" spans="1:22" ht="21" customHeight="1" x14ac:dyDescent="0.3">
      <c r="A15" s="16">
        <v>3</v>
      </c>
      <c r="B15" s="16"/>
      <c r="C15" s="16"/>
      <c r="D15" s="16"/>
      <c r="E15" s="16"/>
      <c r="F15" s="16"/>
      <c r="G15" s="16"/>
      <c r="H15" s="16"/>
      <c r="J15" s="16"/>
      <c r="K15" s="19"/>
      <c r="L15" s="16"/>
      <c r="N15" s="16"/>
      <c r="O15" s="16"/>
      <c r="P15" s="16"/>
      <c r="S15" s="21"/>
      <c r="T15" s="21"/>
      <c r="U15" s="21"/>
      <c r="V15" s="21"/>
    </row>
    <row r="16" spans="1:22" ht="21" customHeight="1" x14ac:dyDescent="0.3">
      <c r="A16" s="17">
        <v>4</v>
      </c>
      <c r="B16" s="17"/>
      <c r="C16" s="17"/>
      <c r="D16" s="17"/>
      <c r="E16" s="17"/>
      <c r="F16" s="17"/>
      <c r="G16" s="17"/>
      <c r="H16" s="17"/>
      <c r="J16" s="17"/>
      <c r="K16" s="19"/>
      <c r="L16" s="17"/>
      <c r="N16" s="17"/>
      <c r="O16" s="17"/>
      <c r="P16" s="17"/>
      <c r="S16" s="21"/>
      <c r="T16" s="21"/>
      <c r="U16" s="21"/>
      <c r="V16" s="21"/>
    </row>
    <row r="17" spans="1:22" ht="21" customHeight="1" x14ac:dyDescent="0.3">
      <c r="A17" s="16">
        <v>5</v>
      </c>
      <c r="B17" s="16"/>
      <c r="C17" s="16"/>
      <c r="D17" s="16"/>
      <c r="E17" s="16"/>
      <c r="F17" s="16"/>
      <c r="G17" s="16"/>
      <c r="H17" s="16"/>
      <c r="J17" s="16"/>
      <c r="K17" s="19"/>
      <c r="L17" s="16"/>
      <c r="N17" s="16"/>
      <c r="O17" s="16"/>
      <c r="P17" s="16"/>
      <c r="S17" s="21"/>
      <c r="T17" s="21"/>
      <c r="U17" s="21"/>
      <c r="V17" s="21"/>
    </row>
    <row r="18" spans="1:22" ht="21" customHeight="1" x14ac:dyDescent="0.3">
      <c r="A18" s="17">
        <v>6</v>
      </c>
      <c r="B18" s="17"/>
      <c r="C18" s="17"/>
      <c r="D18" s="17"/>
      <c r="E18" s="17"/>
      <c r="F18" s="17"/>
      <c r="G18" s="17"/>
      <c r="H18" s="17"/>
      <c r="I18"/>
      <c r="J18" s="17"/>
      <c r="K18" s="19"/>
      <c r="L18" s="17"/>
      <c r="N18" s="17"/>
      <c r="O18" s="17"/>
      <c r="P18" s="17"/>
      <c r="S18" s="21"/>
      <c r="T18" s="21"/>
      <c r="U18" s="21"/>
      <c r="V18" s="21"/>
    </row>
    <row r="19" spans="1:22" ht="21" customHeight="1" x14ac:dyDescent="0.3">
      <c r="A19" s="16">
        <v>7</v>
      </c>
      <c r="B19" s="16"/>
      <c r="C19" s="16"/>
      <c r="D19" s="16"/>
      <c r="E19" s="16"/>
      <c r="F19" s="16"/>
      <c r="G19" s="16"/>
      <c r="H19" s="16"/>
      <c r="J19" s="16"/>
      <c r="K19" s="19"/>
      <c r="L19" s="16"/>
      <c r="N19" s="16"/>
      <c r="O19" s="16"/>
      <c r="P19" s="16"/>
      <c r="S19" s="21"/>
      <c r="T19" s="21"/>
      <c r="U19" s="21"/>
      <c r="V19" s="21"/>
    </row>
    <row r="20" spans="1:22" ht="21" customHeight="1" x14ac:dyDescent="0.3">
      <c r="A20" s="17">
        <v>8</v>
      </c>
      <c r="B20" s="17"/>
      <c r="C20" s="17"/>
      <c r="D20" s="17"/>
      <c r="E20" s="17"/>
      <c r="F20" s="17"/>
      <c r="G20" s="17"/>
      <c r="H20" s="17"/>
      <c r="I20"/>
      <c r="J20" s="17"/>
      <c r="K20" s="19"/>
      <c r="L20" s="17"/>
      <c r="N20" s="17"/>
      <c r="O20" s="17"/>
      <c r="P20" s="17"/>
      <c r="S20" s="21"/>
      <c r="T20" s="21"/>
      <c r="U20" s="21"/>
      <c r="V20" s="21"/>
    </row>
    <row r="21" spans="1:22" ht="21" customHeight="1" x14ac:dyDescent="0.3">
      <c r="A21" s="16">
        <v>9</v>
      </c>
      <c r="B21" s="16"/>
      <c r="C21" s="16"/>
      <c r="D21" s="16"/>
      <c r="E21" s="16"/>
      <c r="F21" s="16"/>
      <c r="G21" s="16"/>
      <c r="H21" s="16"/>
      <c r="J21" s="16"/>
      <c r="K21" s="19"/>
      <c r="L21" s="16"/>
      <c r="N21" s="16"/>
      <c r="O21" s="16"/>
      <c r="P21" s="16"/>
      <c r="S21" s="21"/>
      <c r="T21" s="21"/>
      <c r="U21" s="21"/>
      <c r="V21" s="21"/>
    </row>
    <row r="22" spans="1:22" ht="21" customHeight="1" x14ac:dyDescent="0.3">
      <c r="A22" s="17">
        <v>10</v>
      </c>
      <c r="B22" s="17"/>
      <c r="C22" s="17"/>
      <c r="D22" s="17"/>
      <c r="E22" s="17"/>
      <c r="F22" s="17"/>
      <c r="G22" s="17"/>
      <c r="H22" s="17"/>
      <c r="J22" s="17"/>
      <c r="K22" s="19"/>
      <c r="L22" s="17"/>
      <c r="N22" s="17"/>
      <c r="O22" s="17"/>
      <c r="P22" s="17"/>
    </row>
    <row r="23" spans="1:22" ht="21" customHeight="1" x14ac:dyDescent="0.3">
      <c r="A23" s="16">
        <v>11</v>
      </c>
      <c r="B23" s="16"/>
      <c r="C23" s="16"/>
      <c r="D23" s="16"/>
      <c r="E23" s="16"/>
      <c r="F23" s="16"/>
      <c r="G23" s="16"/>
      <c r="H23" s="16"/>
      <c r="J23" s="16"/>
      <c r="K23" s="19"/>
      <c r="L23" s="16"/>
      <c r="N23" s="16"/>
      <c r="O23" s="16"/>
      <c r="P23" s="16"/>
    </row>
    <row r="24" spans="1:22" ht="21" customHeight="1" x14ac:dyDescent="0.3">
      <c r="A24" s="16">
        <v>12</v>
      </c>
      <c r="B24" s="17"/>
      <c r="C24" s="17"/>
      <c r="D24" s="17"/>
      <c r="E24" s="17"/>
      <c r="F24" s="17"/>
      <c r="G24" s="17"/>
      <c r="H24" s="17"/>
      <c r="I24"/>
      <c r="J24" s="17"/>
      <c r="K24" s="19"/>
      <c r="L24" s="17"/>
      <c r="N24" s="17"/>
      <c r="O24" s="17"/>
      <c r="P24" s="17"/>
    </row>
    <row r="25" spans="1:22" ht="21" customHeight="1" x14ac:dyDescent="0.3">
      <c r="A25" s="17">
        <v>13</v>
      </c>
      <c r="B25" s="16"/>
      <c r="C25" s="16"/>
      <c r="D25" s="16"/>
      <c r="E25" s="16"/>
      <c r="F25" s="16"/>
      <c r="G25" s="16"/>
      <c r="H25" s="16"/>
      <c r="J25" s="16"/>
      <c r="K25" s="19"/>
      <c r="L25" s="16"/>
      <c r="N25" s="16"/>
      <c r="O25" s="16"/>
      <c r="P25" s="16"/>
    </row>
    <row r="26" spans="1:22" ht="21" customHeight="1" x14ac:dyDescent="0.3">
      <c r="A26" s="16">
        <v>14</v>
      </c>
      <c r="B26" s="17"/>
      <c r="C26" s="17"/>
      <c r="D26" s="17"/>
      <c r="E26" s="17"/>
      <c r="F26" s="17"/>
      <c r="G26" s="17"/>
      <c r="H26" s="17"/>
      <c r="I26"/>
      <c r="J26" s="17"/>
      <c r="K26" s="19"/>
      <c r="L26" s="17"/>
      <c r="N26" s="17"/>
      <c r="O26" s="17"/>
      <c r="P26" s="17"/>
    </row>
    <row r="27" spans="1:22" ht="21" customHeight="1" x14ac:dyDescent="0.3">
      <c r="A27" s="17">
        <v>15</v>
      </c>
      <c r="B27" s="16"/>
      <c r="C27" s="16"/>
      <c r="D27" s="16"/>
      <c r="E27" s="16"/>
      <c r="F27" s="16"/>
      <c r="G27" s="16"/>
      <c r="H27" s="16"/>
      <c r="J27" s="16"/>
      <c r="K27" s="19"/>
      <c r="L27" s="16"/>
      <c r="N27" s="16"/>
      <c r="O27" s="16"/>
      <c r="P27" s="16"/>
    </row>
    <row r="28" spans="1:22" ht="21" customHeight="1" x14ac:dyDescent="0.3">
      <c r="A28" s="16">
        <v>16</v>
      </c>
      <c r="B28" s="17"/>
      <c r="C28" s="17"/>
      <c r="D28" s="17"/>
      <c r="E28" s="17"/>
      <c r="F28" s="17"/>
      <c r="G28" s="17"/>
      <c r="H28" s="17"/>
      <c r="I28"/>
      <c r="J28" s="17"/>
      <c r="K28" s="19"/>
      <c r="L28" s="17"/>
      <c r="N28" s="17"/>
      <c r="O28" s="17"/>
      <c r="P28" s="17"/>
    </row>
    <row r="29" spans="1:22" ht="21" customHeight="1" x14ac:dyDescent="0.3">
      <c r="A29" s="17">
        <v>17</v>
      </c>
      <c r="B29" s="16"/>
      <c r="C29" s="16"/>
      <c r="D29" s="16"/>
      <c r="E29" s="16"/>
      <c r="F29" s="16"/>
      <c r="G29" s="16"/>
      <c r="H29" s="16"/>
      <c r="J29" s="16"/>
      <c r="K29" s="19"/>
      <c r="L29" s="16"/>
      <c r="N29" s="16"/>
      <c r="O29" s="16"/>
      <c r="P29" s="16"/>
    </row>
    <row r="30" spans="1:22" ht="21" customHeight="1" x14ac:dyDescent="0.3">
      <c r="A30" s="16">
        <v>18</v>
      </c>
      <c r="B30" s="17"/>
      <c r="C30" s="17"/>
      <c r="D30" s="17"/>
      <c r="E30" s="17"/>
      <c r="F30" s="17"/>
      <c r="G30" s="17"/>
      <c r="H30" s="17"/>
      <c r="I30"/>
      <c r="J30" s="17"/>
      <c r="K30" s="19"/>
      <c r="L30" s="17"/>
      <c r="N30" s="17"/>
      <c r="O30" s="17"/>
      <c r="P30" s="17"/>
    </row>
    <row r="31" spans="1:22" ht="21" customHeight="1" x14ac:dyDescent="0.3">
      <c r="A31" s="17">
        <v>19</v>
      </c>
      <c r="B31" s="16"/>
      <c r="C31" s="16"/>
      <c r="D31" s="16"/>
      <c r="E31" s="16"/>
      <c r="F31" s="16"/>
      <c r="G31" s="16"/>
      <c r="H31" s="16"/>
      <c r="J31" s="16"/>
      <c r="K31" s="19"/>
      <c r="L31" s="16"/>
      <c r="N31" s="16"/>
      <c r="O31" s="16"/>
      <c r="P31" s="16"/>
    </row>
    <row r="32" spans="1:22" ht="21" customHeight="1" x14ac:dyDescent="0.3">
      <c r="A32" s="16">
        <v>20</v>
      </c>
      <c r="B32" s="17"/>
      <c r="C32" s="17"/>
      <c r="D32" s="17"/>
      <c r="E32" s="17"/>
      <c r="F32" s="17"/>
      <c r="G32" s="17"/>
      <c r="H32" s="17"/>
      <c r="I32"/>
      <c r="J32" s="17"/>
      <c r="K32" s="19"/>
      <c r="L32" s="17"/>
      <c r="N32" s="17"/>
      <c r="O32" s="17"/>
      <c r="P32" s="17"/>
    </row>
    <row r="33" spans="1:11" ht="14.4" x14ac:dyDescent="0.3">
      <c r="B33" s="19"/>
      <c r="C33" s="19"/>
      <c r="D33" s="19"/>
      <c r="E33" s="19"/>
      <c r="F33" s="19"/>
      <c r="G33" s="19"/>
      <c r="H33" s="19"/>
      <c r="I33" s="19"/>
      <c r="J33" s="19"/>
      <c r="K33" s="19"/>
    </row>
    <row r="34" spans="1:11" ht="18.600000000000001" customHeight="1" x14ac:dyDescent="0.3">
      <c r="B34" s="19"/>
      <c r="C34" s="19"/>
      <c r="D34" s="19"/>
      <c r="E34" s="19"/>
      <c r="F34" s="19"/>
      <c r="G34" s="19"/>
      <c r="H34" s="19"/>
      <c r="I34" s="19"/>
      <c r="J34" s="19"/>
      <c r="K34" s="19"/>
    </row>
    <row r="35" spans="1:11" ht="14.4" x14ac:dyDescent="0.3">
      <c r="B35" s="19"/>
      <c r="C35" s="19"/>
      <c r="D35" s="19"/>
      <c r="E35" s="19"/>
      <c r="F35" s="19"/>
      <c r="G35" s="19"/>
      <c r="H35" s="19"/>
      <c r="I35" s="19"/>
      <c r="J35" s="19"/>
      <c r="K35" s="19"/>
    </row>
    <row r="36" spans="1:11" ht="14.4" x14ac:dyDescent="0.3">
      <c r="A36" s="6" t="s">
        <v>34</v>
      </c>
      <c r="B36" s="19"/>
      <c r="C36" s="19"/>
      <c r="D36" s="19"/>
      <c r="E36" s="19"/>
      <c r="F36" s="19"/>
      <c r="G36" s="19"/>
      <c r="H36" s="19"/>
      <c r="I36" s="19"/>
      <c r="J36" s="19" t="s">
        <v>33</v>
      </c>
      <c r="K36" s="19"/>
    </row>
    <row r="37" spans="1:11" ht="14.4" x14ac:dyDescent="0.3">
      <c r="B37" s="19"/>
      <c r="C37" s="19"/>
      <c r="D37" s="19"/>
      <c r="E37" s="19"/>
      <c r="F37" s="19"/>
      <c r="G37" s="19"/>
      <c r="H37" s="19"/>
      <c r="I37" s="19"/>
      <c r="J37" s="19"/>
      <c r="K37" s="19"/>
    </row>
    <row r="38" spans="1:11" ht="14.4" x14ac:dyDescent="0.3">
      <c r="B38" s="19"/>
      <c r="C38" s="19"/>
      <c r="D38" s="19"/>
      <c r="E38" s="19"/>
      <c r="F38" s="19"/>
      <c r="G38" s="19"/>
      <c r="H38" s="19"/>
      <c r="I38" s="19"/>
      <c r="J38" s="19"/>
      <c r="K38" s="19"/>
    </row>
    <row r="39" spans="1:11" ht="14.4" x14ac:dyDescent="0.3">
      <c r="B39" s="19"/>
      <c r="C39" s="19"/>
      <c r="D39" s="19"/>
      <c r="E39" s="19"/>
      <c r="F39" s="19"/>
      <c r="G39" s="19"/>
      <c r="H39" s="19"/>
      <c r="I39" s="19"/>
      <c r="J39" s="19"/>
      <c r="K39" s="19"/>
    </row>
    <row r="40" spans="1:11" ht="14.4" x14ac:dyDescent="0.3">
      <c r="B40" s="19"/>
      <c r="C40" s="19"/>
      <c r="D40" s="19"/>
      <c r="E40" s="19"/>
      <c r="F40" s="19"/>
      <c r="G40" s="19"/>
      <c r="H40" s="19"/>
      <c r="I40" s="19"/>
      <c r="J40" s="19"/>
      <c r="K40" s="19"/>
    </row>
    <row r="41" spans="1:11" ht="14.4" x14ac:dyDescent="0.3">
      <c r="B41" s="19"/>
      <c r="C41" s="19"/>
      <c r="D41" s="19"/>
      <c r="E41" s="19"/>
      <c r="F41" s="19"/>
      <c r="G41" s="19"/>
      <c r="H41" s="19"/>
      <c r="I41" s="19"/>
      <c r="J41" s="19"/>
      <c r="K41" s="19"/>
    </row>
    <row r="42" spans="1:11" ht="14.4" x14ac:dyDescent="0.3">
      <c r="B42" s="19"/>
      <c r="C42" s="19"/>
      <c r="D42" s="19"/>
      <c r="E42" s="19"/>
      <c r="F42" s="19"/>
      <c r="G42" s="19"/>
      <c r="H42" s="19"/>
      <c r="I42" s="19"/>
      <c r="J42" s="19"/>
      <c r="K42" s="19"/>
    </row>
    <row r="43" spans="1:11" ht="14.4" x14ac:dyDescent="0.3">
      <c r="B43" s="19"/>
      <c r="C43" s="19"/>
      <c r="D43" s="19"/>
      <c r="E43" s="19"/>
      <c r="F43" s="19"/>
      <c r="G43" s="19"/>
      <c r="H43" s="19"/>
      <c r="I43" s="19"/>
      <c r="J43" s="19"/>
      <c r="K43" s="19"/>
    </row>
    <row r="44" spans="1:11" ht="14.4" x14ac:dyDescent="0.3">
      <c r="B44" s="19"/>
      <c r="C44" s="19"/>
      <c r="D44" s="19"/>
      <c r="E44" s="19"/>
      <c r="F44" s="19"/>
      <c r="G44" s="19"/>
      <c r="H44" s="19"/>
      <c r="I44" s="19"/>
      <c r="J44" s="19"/>
      <c r="K44" s="19"/>
    </row>
    <row r="46" spans="1:11" x14ac:dyDescent="0.25">
      <c r="G46" s="2"/>
    </row>
  </sheetData>
  <mergeCells count="2">
    <mergeCell ref="B11:H11"/>
    <mergeCell ref="L4:O4"/>
  </mergeCells>
  <dataValidations count="4">
    <dataValidation type="custom" allowBlank="1" showInputMessage="1" sqref="N6" xr:uid="{FF78409B-1DCF-4089-A559-84D25D779FBB}">
      <formula1>IF(OR(AND(M6=1,N6&gt;7),AND(M6=2,N6&gt;31)),"EV2","EV1")</formula1>
    </dataValidation>
    <dataValidation type="whole" operator="lessThanOrEqual" allowBlank="1" showErrorMessage="1" errorTitle="Invalid Entry" error="Entry must be between 1 and 31" sqref="H6" xr:uid="{4091D862-D67F-4F33-8B36-3D51C90C2F7C}">
      <formula1>31</formula1>
    </dataValidation>
    <dataValidation type="list" allowBlank="1" showInputMessage="1" showErrorMessage="1" sqref="H4" xr:uid="{72C33E51-9486-4062-AFAF-8DF7F8109733}">
      <formula1>"D,M"</formula1>
    </dataValidation>
    <dataValidation type="custom" showErrorMessage="1" errorTitle="Invalid Name" error="Spaces are not allowed in Unit ID names._x000a_Valid Entries would be:_x000a_AHU-1 OR AHU_1" sqref="J24:J32 J13:J21" xr:uid="{94627D12-DD38-4CA1-8EDE-CECA620072D4}">
      <formula1>NOT(ISNUMBER(SEARCH(" ",J13)))</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8AC47-2F42-4D29-9E1B-0A450FA6532C}">
  <sheetPr codeName="ValveExplorer"/>
  <dimension ref="A1:Z89"/>
  <sheetViews>
    <sheetView workbookViewId="0">
      <selection activeCell="C4" sqref="C4"/>
    </sheetView>
  </sheetViews>
  <sheetFormatPr defaultRowHeight="14.4" x14ac:dyDescent="0.3"/>
  <cols>
    <col min="2" max="2" width="42.77734375" customWidth="1"/>
    <col min="3" max="3" width="26.77734375" style="30" customWidth="1"/>
    <col min="4" max="4" width="13.88671875" customWidth="1"/>
    <col min="5" max="5" width="15.77734375" customWidth="1"/>
    <col min="7" max="7" width="9.77734375" customWidth="1"/>
    <col min="10" max="10" width="9.77734375" customWidth="1"/>
    <col min="26" max="26" width="0" hidden="1" customWidth="1"/>
  </cols>
  <sheetData>
    <row r="1" spans="2:8" ht="16.5" customHeight="1" x14ac:dyDescent="0.3"/>
    <row r="2" spans="2:8" ht="79.95" customHeight="1" x14ac:dyDescent="0.3"/>
    <row r="3" spans="2:8" ht="25.2" customHeight="1" x14ac:dyDescent="0.3"/>
    <row r="4" spans="2:8" ht="15" x14ac:dyDescent="0.35">
      <c r="B4" s="23" t="s">
        <v>8</v>
      </c>
      <c r="C4" s="29"/>
      <c r="D4" s="23" t="s">
        <v>9</v>
      </c>
      <c r="E4" s="25"/>
      <c r="F4" s="23" t="s">
        <v>10</v>
      </c>
      <c r="G4" s="25"/>
    </row>
    <row r="6" spans="2:8" x14ac:dyDescent="0.3">
      <c r="B6" s="35"/>
      <c r="C6" s="36"/>
      <c r="D6" s="36"/>
      <c r="E6" s="36"/>
      <c r="F6" s="36"/>
      <c r="G6" s="36"/>
      <c r="H6" s="36"/>
    </row>
    <row r="10" spans="2:8" ht="15" x14ac:dyDescent="0.35">
      <c r="B10" s="37" t="s">
        <v>11</v>
      </c>
      <c r="C10" s="37"/>
    </row>
    <row r="11" spans="2:8" x14ac:dyDescent="0.3">
      <c r="B11" s="27" t="s">
        <v>12</v>
      </c>
      <c r="C11" s="31" t="s">
        <v>13</v>
      </c>
    </row>
    <row r="49" spans="1:1" x14ac:dyDescent="0.3">
      <c r="A49" s="26"/>
    </row>
    <row r="76" spans="2:26" ht="15" x14ac:dyDescent="0.35">
      <c r="B76" s="37" t="s">
        <v>14</v>
      </c>
      <c r="C76" s="37"/>
      <c r="D76" s="37"/>
      <c r="E76" s="37"/>
      <c r="F76" s="37"/>
    </row>
    <row r="77" spans="2:26" x14ac:dyDescent="0.3">
      <c r="B77" s="28" t="s">
        <v>15</v>
      </c>
      <c r="D77" s="28" t="s">
        <v>16</v>
      </c>
      <c r="E77" s="28" t="s">
        <v>13</v>
      </c>
    </row>
    <row r="78" spans="2:26" x14ac:dyDescent="0.3">
      <c r="B78" t="s">
        <v>17</v>
      </c>
      <c r="D78" t="s">
        <v>35</v>
      </c>
      <c r="E78" s="24"/>
      <c r="Z78" t="b">
        <v>0</v>
      </c>
    </row>
    <row r="79" spans="2:26" x14ac:dyDescent="0.3">
      <c r="B79" t="s">
        <v>18</v>
      </c>
      <c r="D79" t="s">
        <v>19</v>
      </c>
      <c r="E79" s="24"/>
      <c r="Z79" t="b">
        <v>0</v>
      </c>
    </row>
    <row r="80" spans="2:26" x14ac:dyDescent="0.3">
      <c r="B80" t="s">
        <v>20</v>
      </c>
      <c r="D80" t="s">
        <v>36</v>
      </c>
      <c r="E80" s="24"/>
      <c r="Z80" t="b">
        <v>0</v>
      </c>
    </row>
    <row r="81" spans="2:26" x14ac:dyDescent="0.3">
      <c r="B81" t="s">
        <v>21</v>
      </c>
      <c r="D81" t="s">
        <v>19</v>
      </c>
      <c r="E81" s="24"/>
      <c r="Z81" t="b">
        <v>0</v>
      </c>
    </row>
    <row r="82" spans="2:26" x14ac:dyDescent="0.3">
      <c r="B82" t="s">
        <v>22</v>
      </c>
      <c r="D82" t="s">
        <v>37</v>
      </c>
      <c r="E82" s="24"/>
      <c r="Z82" t="b">
        <v>0</v>
      </c>
    </row>
    <row r="83" spans="2:26" x14ac:dyDescent="0.3">
      <c r="B83" t="s">
        <v>23</v>
      </c>
      <c r="D83" t="s">
        <v>37</v>
      </c>
      <c r="E83" s="24"/>
      <c r="Z83" t="b">
        <v>0</v>
      </c>
    </row>
    <row r="84" spans="2:26" x14ac:dyDescent="0.3">
      <c r="B84" t="s">
        <v>24</v>
      </c>
      <c r="D84" t="s">
        <v>37</v>
      </c>
      <c r="E84" s="24"/>
      <c r="Z84" t="b">
        <v>0</v>
      </c>
    </row>
    <row r="85" spans="2:26" x14ac:dyDescent="0.3">
      <c r="B85" t="s">
        <v>25</v>
      </c>
      <c r="D85" t="s">
        <v>26</v>
      </c>
      <c r="E85" s="24"/>
      <c r="Z85" t="b">
        <v>0</v>
      </c>
    </row>
    <row r="86" spans="2:26" x14ac:dyDescent="0.3">
      <c r="B86" t="s">
        <v>27</v>
      </c>
      <c r="D86" t="s">
        <v>26</v>
      </c>
      <c r="E86" s="24"/>
      <c r="Z86" t="b">
        <v>0</v>
      </c>
    </row>
    <row r="87" spans="2:26" x14ac:dyDescent="0.3">
      <c r="B87" t="s">
        <v>28</v>
      </c>
      <c r="D87" t="s">
        <v>29</v>
      </c>
      <c r="E87" s="24"/>
      <c r="Z87" t="b">
        <v>0</v>
      </c>
    </row>
    <row r="88" spans="2:26" x14ac:dyDescent="0.3">
      <c r="B88" t="s">
        <v>30</v>
      </c>
      <c r="D88" t="s">
        <v>19</v>
      </c>
      <c r="E88" s="24"/>
      <c r="Z88" t="b">
        <v>0</v>
      </c>
    </row>
    <row r="89" spans="2:26" x14ac:dyDescent="0.3">
      <c r="B89" t="s">
        <v>31</v>
      </c>
      <c r="D89" t="s">
        <v>32</v>
      </c>
      <c r="E89" s="24"/>
      <c r="Z89" t="b">
        <v>0</v>
      </c>
    </row>
  </sheetData>
  <mergeCells count="3">
    <mergeCell ref="B6:H6"/>
    <mergeCell ref="B10:C10"/>
    <mergeCell ref="B76:F76"/>
  </mergeCells>
  <dataValidations count="1">
    <dataValidation type="list" allowBlank="1" showInputMessage="1" showErrorMessage="1" sqref="D200 C4" xr:uid="{99A2CC18-8864-474C-BF1B-D411C3A2050E}">
      <formula1>_VXValveList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eck Box 1">
              <controlPr defaultSize="0" autoFill="0" autoLine="0" autoPict="0">
                <anchor moveWithCells="1">
                  <from>
                    <xdr:col>0</xdr:col>
                    <xdr:colOff>45720</xdr:colOff>
                    <xdr:row>77</xdr:row>
                    <xdr:rowOff>30480</xdr:rowOff>
                  </from>
                  <to>
                    <xdr:col>0</xdr:col>
                    <xdr:colOff>281940</xdr:colOff>
                    <xdr:row>78</xdr:row>
                    <xdr:rowOff>60960</xdr:rowOff>
                  </to>
                </anchor>
              </controlPr>
            </control>
          </mc:Choice>
        </mc:AlternateContent>
        <mc:AlternateContent xmlns:mc="http://schemas.openxmlformats.org/markup-compatibility/2006">
          <mc:Choice Requires="x14">
            <control shapeId="2050" r:id="rId4" name="Check Box 2">
              <controlPr defaultSize="0" autoFill="0" autoLine="0" autoPict="0">
                <anchor moveWithCells="1">
                  <from>
                    <xdr:col>0</xdr:col>
                    <xdr:colOff>45720</xdr:colOff>
                    <xdr:row>78</xdr:row>
                    <xdr:rowOff>30480</xdr:rowOff>
                  </from>
                  <to>
                    <xdr:col>0</xdr:col>
                    <xdr:colOff>281940</xdr:colOff>
                    <xdr:row>79</xdr:row>
                    <xdr:rowOff>60960</xdr:rowOff>
                  </to>
                </anchor>
              </controlPr>
            </control>
          </mc:Choice>
        </mc:AlternateContent>
        <mc:AlternateContent xmlns:mc="http://schemas.openxmlformats.org/markup-compatibility/2006">
          <mc:Choice Requires="x14">
            <control shapeId="2051" r:id="rId5" name="Check Box 3">
              <controlPr defaultSize="0" autoFill="0" autoLine="0" autoPict="0">
                <anchor moveWithCells="1">
                  <from>
                    <xdr:col>0</xdr:col>
                    <xdr:colOff>45720</xdr:colOff>
                    <xdr:row>79</xdr:row>
                    <xdr:rowOff>30480</xdr:rowOff>
                  </from>
                  <to>
                    <xdr:col>0</xdr:col>
                    <xdr:colOff>281940</xdr:colOff>
                    <xdr:row>80</xdr:row>
                    <xdr:rowOff>60960</xdr:rowOff>
                  </to>
                </anchor>
              </controlPr>
            </control>
          </mc:Choice>
        </mc:AlternateContent>
        <mc:AlternateContent xmlns:mc="http://schemas.openxmlformats.org/markup-compatibility/2006">
          <mc:Choice Requires="x14">
            <control shapeId="2052" r:id="rId6" name="Check Box 4">
              <controlPr defaultSize="0" autoFill="0" autoLine="0" autoPict="0">
                <anchor moveWithCells="1">
                  <from>
                    <xdr:col>0</xdr:col>
                    <xdr:colOff>45720</xdr:colOff>
                    <xdr:row>80</xdr:row>
                    <xdr:rowOff>30480</xdr:rowOff>
                  </from>
                  <to>
                    <xdr:col>0</xdr:col>
                    <xdr:colOff>281940</xdr:colOff>
                    <xdr:row>81</xdr:row>
                    <xdr:rowOff>60960</xdr:rowOff>
                  </to>
                </anchor>
              </controlPr>
            </control>
          </mc:Choice>
        </mc:AlternateContent>
        <mc:AlternateContent xmlns:mc="http://schemas.openxmlformats.org/markup-compatibility/2006">
          <mc:Choice Requires="x14">
            <control shapeId="2053" r:id="rId7" name="Check Box 5">
              <controlPr defaultSize="0" autoFill="0" autoLine="0" autoPict="0">
                <anchor moveWithCells="1">
                  <from>
                    <xdr:col>0</xdr:col>
                    <xdr:colOff>45720</xdr:colOff>
                    <xdr:row>81</xdr:row>
                    <xdr:rowOff>30480</xdr:rowOff>
                  </from>
                  <to>
                    <xdr:col>0</xdr:col>
                    <xdr:colOff>281940</xdr:colOff>
                    <xdr:row>82</xdr:row>
                    <xdr:rowOff>60960</xdr:rowOff>
                  </to>
                </anchor>
              </controlPr>
            </control>
          </mc:Choice>
        </mc:AlternateContent>
        <mc:AlternateContent xmlns:mc="http://schemas.openxmlformats.org/markup-compatibility/2006">
          <mc:Choice Requires="x14">
            <control shapeId="2054" r:id="rId8" name="Check Box 6">
              <controlPr defaultSize="0" autoFill="0" autoLine="0" autoPict="0">
                <anchor moveWithCells="1">
                  <from>
                    <xdr:col>0</xdr:col>
                    <xdr:colOff>45720</xdr:colOff>
                    <xdr:row>82</xdr:row>
                    <xdr:rowOff>30480</xdr:rowOff>
                  </from>
                  <to>
                    <xdr:col>0</xdr:col>
                    <xdr:colOff>281940</xdr:colOff>
                    <xdr:row>83</xdr:row>
                    <xdr:rowOff>60960</xdr:rowOff>
                  </to>
                </anchor>
              </controlPr>
            </control>
          </mc:Choice>
        </mc:AlternateContent>
        <mc:AlternateContent xmlns:mc="http://schemas.openxmlformats.org/markup-compatibility/2006">
          <mc:Choice Requires="x14">
            <control shapeId="2055" r:id="rId9" name="Check Box 7">
              <controlPr defaultSize="0" autoFill="0" autoLine="0" autoPict="0">
                <anchor moveWithCells="1">
                  <from>
                    <xdr:col>0</xdr:col>
                    <xdr:colOff>45720</xdr:colOff>
                    <xdr:row>83</xdr:row>
                    <xdr:rowOff>30480</xdr:rowOff>
                  </from>
                  <to>
                    <xdr:col>0</xdr:col>
                    <xdr:colOff>281940</xdr:colOff>
                    <xdr:row>84</xdr:row>
                    <xdr:rowOff>60960</xdr:rowOff>
                  </to>
                </anchor>
              </controlPr>
            </control>
          </mc:Choice>
        </mc:AlternateContent>
        <mc:AlternateContent xmlns:mc="http://schemas.openxmlformats.org/markup-compatibility/2006">
          <mc:Choice Requires="x14">
            <control shapeId="2056" r:id="rId10" name="Check Box 8">
              <controlPr defaultSize="0" autoFill="0" autoLine="0" autoPict="0">
                <anchor moveWithCells="1">
                  <from>
                    <xdr:col>0</xdr:col>
                    <xdr:colOff>45720</xdr:colOff>
                    <xdr:row>84</xdr:row>
                    <xdr:rowOff>30480</xdr:rowOff>
                  </from>
                  <to>
                    <xdr:col>0</xdr:col>
                    <xdr:colOff>281940</xdr:colOff>
                    <xdr:row>85</xdr:row>
                    <xdr:rowOff>60960</xdr:rowOff>
                  </to>
                </anchor>
              </controlPr>
            </control>
          </mc:Choice>
        </mc:AlternateContent>
        <mc:AlternateContent xmlns:mc="http://schemas.openxmlformats.org/markup-compatibility/2006">
          <mc:Choice Requires="x14">
            <control shapeId="2057" r:id="rId11" name="Check Box 9">
              <controlPr defaultSize="0" autoFill="0" autoLine="0" autoPict="0">
                <anchor moveWithCells="1">
                  <from>
                    <xdr:col>0</xdr:col>
                    <xdr:colOff>45720</xdr:colOff>
                    <xdr:row>85</xdr:row>
                    <xdr:rowOff>30480</xdr:rowOff>
                  </from>
                  <to>
                    <xdr:col>0</xdr:col>
                    <xdr:colOff>281940</xdr:colOff>
                    <xdr:row>86</xdr:row>
                    <xdr:rowOff>60960</xdr:rowOff>
                  </to>
                </anchor>
              </controlPr>
            </control>
          </mc:Choice>
        </mc:AlternateContent>
        <mc:AlternateContent xmlns:mc="http://schemas.openxmlformats.org/markup-compatibility/2006">
          <mc:Choice Requires="x14">
            <control shapeId="2058" r:id="rId12" name="Check Box 10">
              <controlPr defaultSize="0" autoFill="0" autoLine="0" autoPict="0">
                <anchor moveWithCells="1">
                  <from>
                    <xdr:col>0</xdr:col>
                    <xdr:colOff>45720</xdr:colOff>
                    <xdr:row>86</xdr:row>
                    <xdr:rowOff>30480</xdr:rowOff>
                  </from>
                  <to>
                    <xdr:col>0</xdr:col>
                    <xdr:colOff>281940</xdr:colOff>
                    <xdr:row>87</xdr:row>
                    <xdr:rowOff>60960</xdr:rowOff>
                  </to>
                </anchor>
              </controlPr>
            </control>
          </mc:Choice>
        </mc:AlternateContent>
        <mc:AlternateContent xmlns:mc="http://schemas.openxmlformats.org/markup-compatibility/2006">
          <mc:Choice Requires="x14">
            <control shapeId="2059" r:id="rId13" name="Check Box 11">
              <controlPr defaultSize="0" autoFill="0" autoLine="0" autoPict="0">
                <anchor moveWithCells="1">
                  <from>
                    <xdr:col>0</xdr:col>
                    <xdr:colOff>45720</xdr:colOff>
                    <xdr:row>87</xdr:row>
                    <xdr:rowOff>30480</xdr:rowOff>
                  </from>
                  <to>
                    <xdr:col>0</xdr:col>
                    <xdr:colOff>281940</xdr:colOff>
                    <xdr:row>88</xdr:row>
                    <xdr:rowOff>60960</xdr:rowOff>
                  </to>
                </anchor>
              </controlPr>
            </control>
          </mc:Choice>
        </mc:AlternateContent>
        <mc:AlternateContent xmlns:mc="http://schemas.openxmlformats.org/markup-compatibility/2006">
          <mc:Choice Requires="x14">
            <control shapeId="2060" r:id="rId14" name="Check Box 12">
              <controlPr defaultSize="0" autoFill="0" autoLine="0" autoPict="0">
                <anchor moveWithCells="1">
                  <from>
                    <xdr:col>0</xdr:col>
                    <xdr:colOff>45720</xdr:colOff>
                    <xdr:row>88</xdr:row>
                    <xdr:rowOff>30480</xdr:rowOff>
                  </from>
                  <to>
                    <xdr:col>0</xdr:col>
                    <xdr:colOff>281940</xdr:colOff>
                    <xdr:row>89</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A1970-5E6D-4308-AFAC-0F0DE944EA44}">
  <sheetPr codeName="Sheet1"/>
  <dimension ref="A1"/>
  <sheetViews>
    <sheetView workbookViewId="0"/>
  </sheetViews>
  <sheetFormatPr defaultRowHeight="14.4" x14ac:dyDescent="0.3"/>
  <sheetData>
    <row r="1" spans="1:1" ht="409.6" x14ac:dyDescent="0.3">
      <c r="A1" s="22" t="s">
        <v>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E427C-C197-4EDA-8D49-B4BA799B4FD3}">
  <sheetPr codeName="Sheet2"/>
  <dimension ref="A1:A3"/>
  <sheetViews>
    <sheetView workbookViewId="0"/>
  </sheetViews>
  <sheetFormatPr defaultRowHeight="14.4" x14ac:dyDescent="0.3"/>
  <sheetData>
    <row r="1" spans="1:1" x14ac:dyDescent="0.3">
      <c r="A1" s="32" t="s">
        <v>41</v>
      </c>
    </row>
    <row r="2" spans="1:1" x14ac:dyDescent="0.3">
      <c r="A2" s="32" t="s">
        <v>42</v>
      </c>
    </row>
    <row r="3" spans="1:1" x14ac:dyDescent="0.3">
      <c r="A3" s="32">
        <v>1</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22</vt:i4>
      </vt:variant>
    </vt:vector>
  </HeadingPairs>
  <TitlesOfParts>
    <vt:vector size="24" baseType="lpstr">
      <vt:lpstr>Network Data File Download</vt:lpstr>
      <vt:lpstr>Valve Explorer</vt:lpstr>
      <vt:lpstr>f_ComputerNameDownload</vt:lpstr>
      <vt:lpstr>f_FTPpass</vt:lpstr>
      <vt:lpstr>f_IP1Download</vt:lpstr>
      <vt:lpstr>f_NDDailyMonthly</vt:lpstr>
      <vt:lpstr>f_NDDMCount</vt:lpstr>
      <vt:lpstr>f_NDFirmwareCache</vt:lpstr>
      <vt:lpstr>f_NDIP1</vt:lpstr>
      <vt:lpstr>f_NDPingStatus</vt:lpstr>
      <vt:lpstr>f_NDPortCache</vt:lpstr>
      <vt:lpstr>f_NDUnitID1</vt:lpstr>
      <vt:lpstr>f_NDValveCount</vt:lpstr>
      <vt:lpstr>f_NDVersionCache</vt:lpstr>
      <vt:lpstr>f_VXIP</vt:lpstr>
      <vt:lpstr>f_VXLiveCheck1</vt:lpstr>
      <vt:lpstr>f_VXLiveValue1</vt:lpstr>
      <vt:lpstr>f_VXPort</vt:lpstr>
      <vt:lpstr>f_VXReport</vt:lpstr>
      <vt:lpstr>f_VXSelectedValve</vt:lpstr>
      <vt:lpstr>f_VXStatus</vt:lpstr>
      <vt:lpstr>rDate</vt:lpstr>
      <vt:lpstr>rUpdMode</vt:lpstr>
      <vt:lpstr>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Smith, Rick</dc:creator>
  <cp:lastModifiedBy>Smith Rick</cp:lastModifiedBy>
  <dcterms:created xsi:type="dcterms:W3CDTF">2024-08-08T17:03:39Z</dcterms:created>
  <dcterms:modified xsi:type="dcterms:W3CDTF">2026-09-25T13:42:50Z</dcterms:modified>
</cp:coreProperties>
</file>